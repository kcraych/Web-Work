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cray\OneDrive\Desktop\"/>
    </mc:Choice>
  </mc:AlternateContent>
  <xr:revisionPtr revIDLastSave="0" documentId="13_ncr:1_{29773D8B-6AA0-44A1-B0B6-B55B22BFEE6B}" xr6:coauthVersionLast="43" xr6:coauthVersionMax="43" xr10:uidLastSave="{00000000-0000-0000-0000-000000000000}"/>
  <bookViews>
    <workbookView xWindow="828" yWindow="-108" windowWidth="22320" windowHeight="13176" activeTab="3" xr2:uid="{00000000-000D-0000-FFFF-FFFF00000000}"/>
  </bookViews>
  <sheets>
    <sheet name="DB Planning" sheetId="1" r:id="rId1"/>
    <sheet name="Location Seed" sheetId="3" r:id="rId2"/>
    <sheet name="Land and Range Seed" sheetId="11" r:id="rId3"/>
    <sheet name="Activity Seed" sheetId="9" r:id="rId4"/>
    <sheet name="Trail Seed" sheetId="10" r:id="rId5"/>
    <sheet name="Hikes Done" sheetId="2" r:id="rId6"/>
    <sheet name="Hikes To Do" sheetId="4" r:id="rId7"/>
    <sheet name="Other Activities" sheetId="5" r:id="rId8"/>
    <sheet name="13ers14ers" sheetId="6" r:id="rId9"/>
    <sheet name="Parks List" sheetId="7" r:id="rId10"/>
    <sheet name="Outdoor Classes" sheetId="8" r:id="rId11"/>
  </sheets>
  <functionGroups builtInGroupCount="19"/>
  <definedNames>
    <definedName name="_xlnm._FilterDatabase" localSheetId="8" hidden="1">'13ers14ers'!$A$1:$G$1000</definedName>
    <definedName name="_xlnm._FilterDatabase" localSheetId="3">'Activity Seed'!$A$1:$AL$1</definedName>
    <definedName name="_xlnm._FilterDatabase" localSheetId="5" hidden="1">'Hikes Done'!$A$1:$L$57</definedName>
    <definedName name="_xlnm._FilterDatabase" localSheetId="6" hidden="1">'Hikes To Do'!$A$1:$K$944</definedName>
    <definedName name="_xlnm._FilterDatabase" localSheetId="1" hidden="1">'Location Seed'!$A$1:$G$30</definedName>
    <definedName name="_xlnm._FilterDatabase" localSheetId="7" hidden="1">'Other Activities'!$A$1:$E$999</definedName>
    <definedName name="Z_EF148ED1_C6B3_40DE_9364_C88A1560EDDB_.wvu.FilterData" localSheetId="6" hidden="1">'Hikes To Do'!$A$1:$K$944</definedName>
  </definedNames>
  <calcPr calcId="191029"/>
  <customWorkbookViews>
    <customWorkbookView name="Filter 1" guid="{EF148ED1-C6B3-40DE-9364-C88A1560EDD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9" l="1"/>
  <c r="N4" i="9"/>
  <c r="N5" i="9"/>
  <c r="N6" i="9"/>
  <c r="N2" i="9"/>
  <c r="X3" i="10"/>
  <c r="Y3" i="10" s="1"/>
  <c r="X4" i="10"/>
  <c r="Y4" i="10" s="1"/>
  <c r="X5" i="10"/>
  <c r="Y5" i="10" s="1"/>
  <c r="X6" i="10"/>
  <c r="Y6" i="10" s="1"/>
  <c r="X2" i="10"/>
  <c r="Y2" i="10" s="1"/>
  <c r="Q3" i="10"/>
  <c r="R3" i="10"/>
  <c r="S3" i="10"/>
  <c r="T3" i="10"/>
  <c r="U3" i="10"/>
  <c r="V3" i="10"/>
  <c r="W3" i="10"/>
  <c r="Q4" i="10"/>
  <c r="R4" i="10"/>
  <c r="S4" i="10"/>
  <c r="T4" i="10"/>
  <c r="U4" i="10"/>
  <c r="V4" i="10"/>
  <c r="W4" i="10"/>
  <c r="Q5" i="10"/>
  <c r="R5" i="10"/>
  <c r="S5" i="10"/>
  <c r="T5" i="10"/>
  <c r="U5" i="10"/>
  <c r="V5" i="10"/>
  <c r="W5" i="10"/>
  <c r="Q6" i="10"/>
  <c r="R6" i="10"/>
  <c r="S6" i="10"/>
  <c r="T6" i="10"/>
  <c r="U6" i="10"/>
  <c r="V6" i="10"/>
  <c r="W6" i="10"/>
  <c r="W2" i="10"/>
  <c r="V2" i="10"/>
  <c r="U2" i="10"/>
  <c r="T2" i="10"/>
  <c r="S2" i="10"/>
  <c r="R2" i="10"/>
  <c r="Q2" i="10"/>
  <c r="P3" i="10"/>
  <c r="P4" i="10"/>
  <c r="P5" i="10"/>
  <c r="P6" i="10"/>
  <c r="P2" i="10"/>
  <c r="M3" i="10"/>
  <c r="M4" i="10"/>
  <c r="M5" i="10"/>
  <c r="M6" i="10"/>
  <c r="M2" i="10"/>
  <c r="N3" i="10"/>
  <c r="N4" i="10"/>
  <c r="N5" i="10"/>
  <c r="N6" i="10"/>
  <c r="N2" i="10"/>
  <c r="O3" i="10"/>
  <c r="O4" i="10"/>
  <c r="O5" i="10"/>
  <c r="O6" i="10"/>
  <c r="O2" i="10"/>
  <c r="N3" i="3"/>
  <c r="N4" i="3"/>
  <c r="N5" i="3"/>
  <c r="N2" i="3"/>
  <c r="Q3" i="11"/>
  <c r="Q4" i="11"/>
  <c r="R4" i="11" s="1"/>
  <c r="Q5" i="11"/>
  <c r="Q2" i="11"/>
  <c r="R2" i="11" s="1"/>
  <c r="G2" i="11"/>
  <c r="F2" i="11"/>
  <c r="E2" i="11"/>
  <c r="D2" i="11"/>
  <c r="R3" i="11"/>
  <c r="R5" i="11"/>
  <c r="P2" i="11"/>
  <c r="P3" i="11"/>
  <c r="P4" i="11"/>
  <c r="P5" i="11"/>
  <c r="O3" i="11"/>
  <c r="O4" i="11"/>
  <c r="O5" i="11"/>
  <c r="O2" i="11"/>
  <c r="N3" i="11"/>
  <c r="N4" i="11"/>
  <c r="N5" i="11"/>
  <c r="N2" i="11"/>
  <c r="A6" i="10"/>
  <c r="A5" i="10"/>
  <c r="A4" i="10"/>
  <c r="A3" i="10"/>
  <c r="A2" i="10"/>
  <c r="X6" i="9"/>
  <c r="W6" i="9"/>
  <c r="V6" i="9"/>
  <c r="U6" i="9"/>
  <c r="X5" i="9"/>
  <c r="W5" i="9"/>
  <c r="V5" i="9"/>
  <c r="U5" i="9"/>
  <c r="X4" i="9"/>
  <c r="W4" i="9"/>
  <c r="V4" i="9"/>
  <c r="U4" i="9"/>
  <c r="X3" i="9"/>
  <c r="W3" i="9"/>
  <c r="V3" i="9"/>
  <c r="U3" i="9"/>
  <c r="X2" i="9"/>
  <c r="W2" i="9"/>
  <c r="V2" i="9"/>
  <c r="U2" i="9"/>
  <c r="O3" i="9"/>
  <c r="O4" i="9"/>
  <c r="O5" i="9"/>
  <c r="O6" i="9"/>
  <c r="O2" i="9"/>
  <c r="P3" i="9"/>
  <c r="Q3" i="9"/>
  <c r="P4" i="9"/>
  <c r="Q4" i="9"/>
  <c r="P5" i="9"/>
  <c r="Q5" i="9"/>
  <c r="P6" i="9"/>
  <c r="Q6" i="9"/>
  <c r="Q2" i="9"/>
  <c r="P2" i="9"/>
  <c r="R2" i="9"/>
  <c r="S2" i="9"/>
  <c r="T2" i="9"/>
  <c r="Y2" i="9"/>
  <c r="R3" i="9"/>
  <c r="S3" i="9"/>
  <c r="T3" i="9"/>
  <c r="Y3" i="9"/>
  <c r="R4" i="9"/>
  <c r="S4" i="9"/>
  <c r="T4" i="9"/>
  <c r="Y4" i="9"/>
  <c r="R5" i="9"/>
  <c r="S5" i="9"/>
  <c r="T5" i="9"/>
  <c r="Y5" i="9"/>
  <c r="R6" i="9"/>
  <c r="S6" i="9"/>
  <c r="T6" i="9"/>
  <c r="Y6" i="9"/>
  <c r="F6" i="9"/>
  <c r="F5" i="9"/>
  <c r="F4" i="9"/>
  <c r="F3" i="9"/>
  <c r="F2" i="9"/>
  <c r="H3" i="3"/>
  <c r="I3" i="3"/>
  <c r="J3" i="3"/>
  <c r="K3" i="3"/>
  <c r="L3" i="3"/>
  <c r="M3" i="3"/>
  <c r="H4" i="3"/>
  <c r="I4" i="3"/>
  <c r="J4" i="3"/>
  <c r="K4" i="3"/>
  <c r="L4" i="3"/>
  <c r="M4" i="3"/>
  <c r="H5" i="3"/>
  <c r="I5" i="3"/>
  <c r="J5" i="3"/>
  <c r="K5" i="3"/>
  <c r="L5" i="3"/>
  <c r="M5" i="3"/>
  <c r="M2" i="3"/>
  <c r="I2" i="3"/>
  <c r="J2" i="3"/>
  <c r="K2" i="3"/>
  <c r="L2" i="3"/>
  <c r="H2" i="3"/>
  <c r="M6" i="9"/>
  <c r="M3" i="9"/>
  <c r="M4" i="9"/>
  <c r="M5" i="9"/>
  <c r="M2" i="9"/>
  <c r="O4" i="3" l="1"/>
  <c r="O3" i="3"/>
  <c r="O5" i="3"/>
  <c r="O2" i="3"/>
  <c r="Z5" i="9"/>
  <c r="AA5" i="9" s="1"/>
  <c r="Z4" i="9"/>
  <c r="AA4" i="9" s="1"/>
  <c r="Z3" i="9"/>
  <c r="AA3" i="9" s="1"/>
  <c r="Z6" i="9"/>
  <c r="AA6" i="9" s="1"/>
  <c r="Z2" i="9"/>
  <c r="AA2" i="9" s="1"/>
  <c r="D2" i="2"/>
  <c r="A8" i="5"/>
  <c r="A7" i="5"/>
  <c r="A6" i="5"/>
  <c r="A5" i="5"/>
  <c r="A4" i="5"/>
  <c r="A3" i="5"/>
  <c r="A2" i="5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K3" i="4"/>
  <c r="A3" i="4"/>
  <c r="A2" i="4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48" i="2"/>
  <c r="D8" i="2"/>
  <c r="D7" i="2"/>
  <c r="D6" i="2"/>
  <c r="D5" i="2"/>
  <c r="D4" i="2"/>
  <c r="D3" i="2"/>
  <c r="F33" i="1"/>
  <c r="F32" i="1"/>
  <c r="F31" i="1"/>
  <c r="K29" i="1"/>
  <c r="K28" i="1"/>
  <c r="F28" i="1"/>
  <c r="K27" i="1"/>
  <c r="F27" i="1"/>
  <c r="K26" i="1"/>
  <c r="F26" i="1"/>
  <c r="F23" i="1"/>
  <c r="K22" i="1"/>
  <c r="F22" i="1"/>
  <c r="K21" i="1"/>
  <c r="F21" i="1"/>
  <c r="K20" i="1"/>
  <c r="F20" i="1"/>
  <c r="K19" i="1"/>
  <c r="F19" i="1"/>
  <c r="K18" i="1"/>
  <c r="F18" i="1"/>
  <c r="F17" i="1"/>
  <c r="A17" i="1"/>
  <c r="F16" i="1"/>
  <c r="A16" i="1"/>
  <c r="A15" i="1"/>
  <c r="K14" i="1"/>
  <c r="A14" i="1"/>
  <c r="K13" i="1"/>
  <c r="F13" i="1"/>
  <c r="A13" i="1"/>
  <c r="K12" i="1"/>
  <c r="F12" i="1"/>
  <c r="A12" i="1"/>
  <c r="K11" i="1"/>
  <c r="F11" i="1"/>
  <c r="A11" i="1"/>
  <c r="K10" i="1"/>
  <c r="F10" i="1"/>
  <c r="A10" i="1"/>
  <c r="K9" i="1"/>
  <c r="F9" i="1"/>
  <c r="Q8" i="1"/>
  <c r="K8" i="1"/>
  <c r="F8" i="1"/>
  <c r="Q7" i="1"/>
  <c r="K7" i="1"/>
  <c r="F7" i="1"/>
  <c r="Q6" i="1"/>
  <c r="K6" i="1"/>
  <c r="F6" i="1"/>
  <c r="Q5" i="1"/>
  <c r="K5" i="1"/>
  <c r="F5" i="1"/>
  <c r="Q4" i="1"/>
  <c r="K4" i="1"/>
  <c r="F4" i="1"/>
  <c r="Q3" i="1"/>
  <c r="K3" i="1"/>
  <c r="F3" i="1"/>
  <c r="A3" i="1"/>
  <c r="Q2" i="1"/>
  <c r="K2" i="1"/>
  <c r="F2" i="1"/>
  <c r="A2" i="1"/>
  <c r="Q1" i="1"/>
</calcChain>
</file>

<file path=xl/sharedStrings.xml><?xml version="1.0" encoding="utf-8"?>
<sst xmlns="http://schemas.openxmlformats.org/spreadsheetml/2006/main" count="2799" uniqueCount="1385">
  <si>
    <t>Date</t>
  </si>
  <si>
    <t>Repeat Dates</t>
  </si>
  <si>
    <t>BP?</t>
  </si>
  <si>
    <t>Hike Name</t>
  </si>
  <si>
    <t>Trail Distance</t>
  </si>
  <si>
    <t>Location</t>
  </si>
  <si>
    <t>UserDemographic</t>
  </si>
  <si>
    <t>ActivityDetail</t>
  </si>
  <si>
    <t>Aspen, CO</t>
  </si>
  <si>
    <t>Boulder, CO</t>
  </si>
  <si>
    <t>Breckenridge, CO</t>
  </si>
  <si>
    <t>Elevation Gain</t>
  </si>
  <si>
    <t>Highest Elevation</t>
  </si>
  <si>
    <t>Apprx drive time (Hrs)</t>
  </si>
  <si>
    <t>KC Rating</t>
  </si>
  <si>
    <t>Rating Notes</t>
  </si>
  <si>
    <t>Visitor Option</t>
  </si>
  <si>
    <t>Additional Notes</t>
  </si>
  <si>
    <t>TrailDetail</t>
  </si>
  <si>
    <t>Evergreen, CO</t>
  </si>
  <si>
    <t>Glenwood Springs, CO</t>
  </si>
  <si>
    <t>Idaho Springs, CO</t>
  </si>
  <si>
    <t>Montezuma, CO</t>
  </si>
  <si>
    <t>Morrison, CO</t>
  </si>
  <si>
    <t>Nederland, CO</t>
  </si>
  <si>
    <t>PNW</t>
  </si>
  <si>
    <t>Vail, CO</t>
  </si>
  <si>
    <t>Winter Park, CO</t>
  </si>
  <si>
    <t>Best in spring for meadow flowers</t>
  </si>
  <si>
    <t>Yes</t>
  </si>
  <si>
    <t>userId</t>
  </si>
  <si>
    <t>string</t>
  </si>
  <si>
    <t>PK</t>
  </si>
  <si>
    <t>activityId</t>
  </si>
  <si>
    <t>Guid</t>
  </si>
  <si>
    <t>trailId</t>
  </si>
  <si>
    <t>Pretty, but crowded</t>
  </si>
  <si>
    <t>locationId</t>
  </si>
  <si>
    <t>FK</t>
  </si>
  <si>
    <t>ActivityComplete</t>
  </si>
  <si>
    <t>activityType</t>
  </si>
  <si>
    <t>ActivityType</t>
  </si>
  <si>
    <t>enum</t>
  </si>
  <si>
    <t>rangeId</t>
  </si>
  <si>
    <t>ActivityPhoto</t>
  </si>
  <si>
    <t>activityOtherDesc</t>
  </si>
  <si>
    <t>landId</t>
  </si>
  <si>
    <t>ActivityWishList</t>
  </si>
  <si>
    <t>driveHrsFromHome</t>
  </si>
  <si>
    <t>float</t>
  </si>
  <si>
    <t>trailMiles</t>
  </si>
  <si>
    <t>activityNotes</t>
  </si>
  <si>
    <t>trailElevationMax</t>
  </si>
  <si>
    <t>int</t>
  </si>
  <si>
    <t>GovernedLand</t>
  </si>
  <si>
    <t>activityWinter</t>
  </si>
  <si>
    <t>bool</t>
  </si>
  <si>
    <t>trailElevationGain</t>
  </si>
  <si>
    <t>MountainRange</t>
  </si>
  <si>
    <t>activitySpring</t>
  </si>
  <si>
    <t>trailNotes</t>
  </si>
  <si>
    <t>Boring, but nice walk if mountains are snowy</t>
  </si>
  <si>
    <t>Maybe</t>
  </si>
  <si>
    <t>Pretty and short, but crowded</t>
  </si>
  <si>
    <t>Pay 5$ cash to park.</t>
  </si>
  <si>
    <t>Park/Forest</t>
  </si>
  <si>
    <t>Y</t>
  </si>
  <si>
    <t>backpack loop with julies friends</t>
  </si>
  <si>
    <t>activitySummer</t>
  </si>
  <si>
    <t>Driving Distance</t>
  </si>
  <si>
    <t>Interest Level</t>
  </si>
  <si>
    <t>Current Season?</t>
  </si>
  <si>
    <t>isHikeTrail</t>
  </si>
  <si>
    <t>Comments</t>
  </si>
  <si>
    <t>locationType</t>
  </si>
  <si>
    <t>LocationType</t>
  </si>
  <si>
    <t>activityFall</t>
  </si>
  <si>
    <t>isBackpackTrail</t>
  </si>
  <si>
    <t>locationStreetAddress</t>
  </si>
  <si>
    <t>activitySiteName</t>
  </si>
  <si>
    <t>isBikeTrail</t>
  </si>
  <si>
    <t>locationCity</t>
  </si>
  <si>
    <t>down then up hike with jill and jim</t>
  </si>
  <si>
    <t>NA</t>
  </si>
  <si>
    <t>activitySiteURL</t>
  </si>
  <si>
    <t>isSkiTrail</t>
  </si>
  <si>
    <t>wateferall hike with jill and jim</t>
  </si>
  <si>
    <t>locationState</t>
  </si>
  <si>
    <t>State</t>
  </si>
  <si>
    <t>isVisitorTrail</t>
  </si>
  <si>
    <t>locationZip</t>
  </si>
  <si>
    <t>locationLatitude</t>
  </si>
  <si>
    <t>double</t>
  </si>
  <si>
    <t>Allenspark, CO</t>
  </si>
  <si>
    <t>Rocky Mountain National Park</t>
  </si>
  <si>
    <t>La Junta, CO</t>
  </si>
  <si>
    <t>Comanche National Grassland</t>
  </si>
  <si>
    <t>Pretty trail, anticlimactic summit with the parking lot</t>
  </si>
  <si>
    <t>I think it was longer than this (16 miles?), but I'm not sure.</t>
  </si>
  <si>
    <t>Pass was very pretty!</t>
  </si>
  <si>
    <t>Get to the falls for good camping spot.  Ashley and I beat off the path about an hour before that and found camping on a rock slab by a stream.  Nice, but hard to get to and a made up spot.</t>
  </si>
  <si>
    <t>Mosca, CO</t>
  </si>
  <si>
    <t>Great Sand Dunes National Park</t>
  </si>
  <si>
    <t>Winter hike</t>
  </si>
  <si>
    <t>Marble, CO</t>
  </si>
  <si>
    <t>Grand Mesa National Forest</t>
  </si>
  <si>
    <t>completeId</t>
  </si>
  <si>
    <t>Beautiful valley, especially when suns coming up</t>
  </si>
  <si>
    <t>Yes, In shape</t>
  </si>
  <si>
    <t>locationLongitude</t>
  </si>
  <si>
    <t>dateCompleted</t>
  </si>
  <si>
    <t>DateTime</t>
  </si>
  <si>
    <t>Grand Junction, CO</t>
  </si>
  <si>
    <t>Black Ridge Canyons Wilderness</t>
  </si>
  <si>
    <t>Winter hike?</t>
  </si>
  <si>
    <t>Beautiful scenery and awesome blue lake</t>
  </si>
  <si>
    <t>In shape</t>
  </si>
  <si>
    <t>Started to upper lake, couldn't find trail and knee was aching.  Turned around at that point.  Saw 2 moose!</t>
  </si>
  <si>
    <t>Sequoia hikes iwith mom</t>
  </si>
  <si>
    <t>up high yosemite hikes</t>
  </si>
  <si>
    <t>Swinging Bridge Hike</t>
  </si>
  <si>
    <t>Cool bridge, so-so trail.</t>
  </si>
  <si>
    <t>Hiked from neat the wawona hotel.</t>
  </si>
  <si>
    <t>Yosemite hikes with Mom</t>
  </si>
  <si>
    <t>Bakerville, CO</t>
  </si>
  <si>
    <t>Arapaho National Forest</t>
  </si>
  <si>
    <t>Pretty fall colors, but hiking under ski lifts whole way.  Relatively crowded.</t>
  </si>
  <si>
    <t>Wildflowers?</t>
  </si>
  <si>
    <t>hrsToComplete</t>
  </si>
  <si>
    <t>isNationalPark</t>
  </si>
  <si>
    <t>myDifficultyScore</t>
  </si>
  <si>
    <t>Great views down the valley throughout hike.  Likely to see moose.</t>
  </si>
  <si>
    <t>Great in the fall.  Has a restaurant at lake for after hike beer and food (closes around first weekend of October).</t>
  </si>
  <si>
    <t>White River National Forest</t>
  </si>
  <si>
    <t>isStatePark</t>
  </si>
  <si>
    <t>Backcountry Ski</t>
  </si>
  <si>
    <t>myActivityScore</t>
  </si>
  <si>
    <t>isNationalForest</t>
  </si>
  <si>
    <t>isFavorite</t>
  </si>
  <si>
    <t>landName</t>
  </si>
  <si>
    <t>myActivityNotes</t>
  </si>
  <si>
    <t>Golden canyon state park? hike with mom</t>
  </si>
  <si>
    <t>Caribou City, CO</t>
  </si>
  <si>
    <t>Mud Lake Open Space Park</t>
  </si>
  <si>
    <t>Cool old school bus</t>
  </si>
  <si>
    <t>Lots of bikers to dodge</t>
  </si>
  <si>
    <t>Went to high point in trail.  Didn’t dip down.</t>
  </si>
  <si>
    <t>Pretty trail, very crowded</t>
  </si>
  <si>
    <t>Matthews Winters Park</t>
  </si>
  <si>
    <t>3.2</t>
  </si>
  <si>
    <t>December, early snow season</t>
  </si>
  <si>
    <t>photoId</t>
  </si>
  <si>
    <t>Didn't actually get to pass bc of snow - probably got within less than a mile</t>
  </si>
  <si>
    <t>Boulder Open Space</t>
  </si>
  <si>
    <t>Off season</t>
  </si>
  <si>
    <t>Didn't get to cabin because too much snow and lost trail.</t>
  </si>
  <si>
    <t>Rocky, CO</t>
  </si>
  <si>
    <t>Golden Gate Canyon State Park</t>
  </si>
  <si>
    <t>Hiked with Carrie after Amy's bachelorette party</t>
  </si>
  <si>
    <t>rangeName</t>
  </si>
  <si>
    <t>myActivityPhoto</t>
  </si>
  <si>
    <t>URL?</t>
  </si>
  <si>
    <t>rangeTerritory</t>
  </si>
  <si>
    <t>StateTerritory</t>
  </si>
  <si>
    <t>Echo Lake Park</t>
  </si>
  <si>
    <t>rangeSqMiles</t>
  </si>
  <si>
    <t>November, early snow season</t>
  </si>
  <si>
    <t>Castlewood North, CO</t>
  </si>
  <si>
    <t>Castlewood Canyon State Park</t>
  </si>
  <si>
    <t>Visitors? Looks like opporunity to add more to the loop on both north and south ends if wanted.</t>
  </si>
  <si>
    <t xml:space="preserve">view of mount saint Helen’s </t>
  </si>
  <si>
    <t>myInterestScore</t>
  </si>
  <si>
    <t>myInterestNotes</t>
  </si>
  <si>
    <t>Alpine wilderness?</t>
  </si>
  <si>
    <t>Decker, CO</t>
  </si>
  <si>
    <t>Pike National Forest</t>
  </si>
  <si>
    <t>610</t>
  </si>
  <si>
    <t>Really cool past the lake</t>
  </si>
  <si>
    <t>Didn't get to the glacier bc of time restraints</t>
  </si>
  <si>
    <t>Dillon, CO</t>
  </si>
  <si>
    <t>Wildflowers</t>
  </si>
  <si>
    <t>Empire, CO</t>
  </si>
  <si>
    <t>James Peak Wilderness</t>
  </si>
  <si>
    <t>Two 13ers</t>
  </si>
  <si>
    <t>Only made it to first peak with Aunt Barb.</t>
  </si>
  <si>
    <t>Estes Park, CO</t>
  </si>
  <si>
    <t>Great views at the top for such a short drive</t>
  </si>
  <si>
    <t>Was great for late fall (bring spikes or yaktrax)</t>
  </si>
  <si>
    <t>Walden, CO</t>
  </si>
  <si>
    <t>State Forest State Park</t>
  </si>
  <si>
    <t>Eagle, CO</t>
  </si>
  <si>
    <t>Holy Cross Wilderness</t>
  </si>
  <si>
    <t>There may be a long loop version around 23 miles</t>
  </si>
  <si>
    <t>Great views at the top</t>
  </si>
  <si>
    <t>Crowded up to resevoir, then pretty</t>
  </si>
  <si>
    <t>Pandora, CO</t>
  </si>
  <si>
    <t>Uncompahgre National Forest</t>
  </si>
  <si>
    <t>Historical structures</t>
  </si>
  <si>
    <t>Relatively crowded, nothing too special</t>
  </si>
  <si>
    <t>Silverton, CO</t>
  </si>
  <si>
    <t>San Juan National Forest</t>
  </si>
  <si>
    <t>Telluride, CO</t>
  </si>
  <si>
    <t>Need a guide</t>
  </si>
  <si>
    <t>Cool history!</t>
  </si>
  <si>
    <t>Distance and elevation gain are out and back (cut in half for one way)</t>
  </si>
  <si>
    <t>1,338</t>
  </si>
  <si>
    <t>Camping below Bear Lake at tree line</t>
  </si>
  <si>
    <t>Variety of scenery, very beautiful</t>
  </si>
  <si>
    <t>Visitor hike?</t>
  </si>
  <si>
    <t>Next time backpack at fancy lake (do hike counter clockwise)</t>
  </si>
  <si>
    <t>Pence Park</t>
  </si>
  <si>
    <t>Georgetown, CO</t>
  </si>
  <si>
    <t>Fall ground cover</t>
  </si>
  <si>
    <t>Glen Haven, CO</t>
  </si>
  <si>
    <t>Views were so-so.  Might be pretty with snow dusted peaks in November</t>
  </si>
  <si>
    <t>Did hike with Julie and Marcum - only made it half way (first summit) due to toddler tantrums :)</t>
  </si>
  <si>
    <t>Green Mountain, CO</t>
  </si>
  <si>
    <t>Read book by lake (easy relaxing day?)</t>
  </si>
  <si>
    <t>Very pretty with the snow.</t>
  </si>
  <si>
    <t>Would probaly rate lower in the summer bc looked baren and would be very populated.</t>
  </si>
  <si>
    <t>Yampa, CO</t>
  </si>
  <si>
    <t>Flat Tops Wilderness</t>
  </si>
  <si>
    <t>3 day backpacking option.  Sounds very low traffic.  There are shorter options to just do Devil's causeway.</t>
  </si>
  <si>
    <t>Fruita, CO</t>
  </si>
  <si>
    <t>Colorado National Monument</t>
  </si>
  <si>
    <t>Check out other trails in area</t>
  </si>
  <si>
    <t>Blew a flat tire driving up, didn’t get get to hike.  Rough road, but I think car can do it.  Go slow!  Research more about trailhead.b</t>
  </si>
  <si>
    <t>Fall colors</t>
  </si>
  <si>
    <t>Lake George, CO</t>
  </si>
  <si>
    <t>Mount Evans Wilderness</t>
  </si>
  <si>
    <t>2,076</t>
  </si>
  <si>
    <t>Roosevelt National Forest</t>
  </si>
  <si>
    <t>1,804</t>
  </si>
  <si>
    <t>2,263</t>
  </si>
  <si>
    <t>Indian Peaks Wilderness</t>
  </si>
  <si>
    <t>Rollinsville, CO</t>
  </si>
  <si>
    <t>Shaffers Crossing, CO</t>
  </si>
  <si>
    <t>Staunton State Park</t>
  </si>
  <si>
    <t>Cedaredge, CO</t>
  </si>
  <si>
    <t>Crested Butte, CO</t>
  </si>
  <si>
    <t>Gunnison National Forest</t>
  </si>
  <si>
    <t>Ridgeway, CO</t>
  </si>
  <si>
    <t>Mount Sneffels Wilderness</t>
  </si>
  <si>
    <t>Activity Name</t>
  </si>
  <si>
    <t>Ophir, CO</t>
  </si>
  <si>
    <t>Variety of trail options, described in link</t>
  </si>
  <si>
    <t>Could do on way back from a Sangre de Cristo 14er</t>
  </si>
  <si>
    <t>Grand County, CO</t>
  </si>
  <si>
    <t>Look for hikes nearby?</t>
  </si>
  <si>
    <t>Colorado Springs, CO</t>
  </si>
  <si>
    <t>Low key weekend</t>
  </si>
  <si>
    <t>Mancos, CO</t>
  </si>
  <si>
    <t>Good next day hike following a San Juan 14er</t>
  </si>
  <si>
    <t>Zapata Falls</t>
  </si>
  <si>
    <t>Rio Grande National Forest</t>
  </si>
  <si>
    <t>Florissant, CO</t>
  </si>
  <si>
    <t>Swimming hole</t>
  </si>
  <si>
    <t>Carbondale, CO</t>
  </si>
  <si>
    <t>Montrose, CO</t>
  </si>
  <si>
    <t>Sight seeing/hiking</t>
  </si>
  <si>
    <t>South Park, CO</t>
  </si>
  <si>
    <t>??</t>
  </si>
  <si>
    <t>Dad may be interested - Highest 7.5" railway (under construction)</t>
  </si>
  <si>
    <t>Wildlife Sanctuary</t>
  </si>
  <si>
    <t>Keenesburg, CO</t>
  </si>
  <si>
    <t>Ute Mountain Tribal Park</t>
  </si>
  <si>
    <t>Mesa Verde, CO</t>
  </si>
  <si>
    <t>Hovenweep National Monument</t>
  </si>
  <si>
    <t>Rank</t>
  </si>
  <si>
    <t>Peak</t>
  </si>
  <si>
    <t>13er/14er</t>
  </si>
  <si>
    <t>Elevation</t>
  </si>
  <si>
    <t>Range</t>
  </si>
  <si>
    <t>Huron Peak</t>
  </si>
  <si>
    <t>Sawatch</t>
  </si>
  <si>
    <t>Mt. Antero</t>
  </si>
  <si>
    <t>Mt. Columbia</t>
  </si>
  <si>
    <t>Mt. of the Holy Cross</t>
  </si>
  <si>
    <t>Unnamed</t>
  </si>
  <si>
    <t>"North Massive"</t>
  </si>
  <si>
    <t>Mt. Princeton</t>
  </si>
  <si>
    <t>Blanca Peak</t>
  </si>
  <si>
    <t>Sangre de Cristo</t>
  </si>
  <si>
    <t>"Massive Green"</t>
  </si>
  <si>
    <t>Challenger Point</t>
  </si>
  <si>
    <t>Crestone Needle</t>
  </si>
  <si>
    <t>Grays Peak</t>
  </si>
  <si>
    <t>Front</t>
  </si>
  <si>
    <t>Crestone Peak</t>
  </si>
  <si>
    <t>Culebra Peak</t>
  </si>
  <si>
    <t>Ellingwood Point</t>
  </si>
  <si>
    <t>Humboldt Peak</t>
  </si>
  <si>
    <t>La Plata Peak</t>
  </si>
  <si>
    <t>"East Crestone"</t>
  </si>
  <si>
    <t>"Northeast Crestone"</t>
  </si>
  <si>
    <t>"West Evans"</t>
  </si>
  <si>
    <t>Kit Carson Peak</t>
  </si>
  <si>
    <t>Longs Peak</t>
  </si>
  <si>
    <t>Unranked</t>
  </si>
  <si>
    <t>Mt. Cameron</t>
  </si>
  <si>
    <t>Mosquito</t>
  </si>
  <si>
    <t>Little Bear Peak</t>
  </si>
  <si>
    <t>Missouri Mountain</t>
  </si>
  <si>
    <t>Mt. Lindsey</t>
  </si>
  <si>
    <t>Mt. Belford</t>
  </si>
  <si>
    <t>Mt. Bierstadt</t>
  </si>
  <si>
    <t>"East La Plata"</t>
  </si>
  <si>
    <t>Colorado State and National Parks, Wilderness, Open Space, etc.</t>
  </si>
  <si>
    <t>Mt. Bross</t>
  </si>
  <si>
    <t>Handies Peak</t>
  </si>
  <si>
    <t>San Juan</t>
  </si>
  <si>
    <t>El Diente Peak</t>
  </si>
  <si>
    <t>Mt. Democrat</t>
  </si>
  <si>
    <t>Mt. Elbert</t>
  </si>
  <si>
    <t>Mt. Eolus</t>
  </si>
  <si>
    <t>National Parks</t>
  </si>
  <si>
    <t>Mt. Evans</t>
  </si>
  <si>
    <t>Mt. Harvard</t>
  </si>
  <si>
    <t>"South Elbert"</t>
  </si>
  <si>
    <t>"South Massive"</t>
  </si>
  <si>
    <t>Mt. Lincoln</t>
  </si>
  <si>
    <t>Distance from Denver</t>
  </si>
  <si>
    <t>Mt. Sneffels</t>
  </si>
  <si>
    <t>Approx. Drive Time from Denver</t>
  </si>
  <si>
    <t>Locale</t>
  </si>
  <si>
    <t>"South Wilson"</t>
  </si>
  <si>
    <t>"West Wilson"</t>
  </si>
  <si>
    <t>https://www.nps.gov/state/co/index.htm</t>
  </si>
  <si>
    <t>Mt. Massive</t>
  </si>
  <si>
    <t>Mt. Wilson</t>
  </si>
  <si>
    <t>Mt. Oxford</t>
  </si>
  <si>
    <t>Redcloud Peak</t>
  </si>
  <si>
    <t>Mt. Shavano</t>
  </si>
  <si>
    <t>Mt. Sherman</t>
  </si>
  <si>
    <t>San Luis Peak</t>
  </si>
  <si>
    <t>Sunlight Peak</t>
  </si>
  <si>
    <t>Conundrum Peak</t>
  </si>
  <si>
    <t>Elk</t>
  </si>
  <si>
    <t>"Southeast Longs"</t>
  </si>
  <si>
    <t>Mt. Yale</t>
  </si>
  <si>
    <t>Pikes Peak</t>
  </si>
  <si>
    <t>Sunshine Peak</t>
  </si>
  <si>
    <t>Quandary Peak</t>
  </si>
  <si>
    <t>Tenmile</t>
  </si>
  <si>
    <t>Uncompahgre Peak</t>
  </si>
  <si>
    <t>North Eolus</t>
  </si>
  <si>
    <t>Wetterhorn Peak</t>
  </si>
  <si>
    <t>Wilson Peak</t>
  </si>
  <si>
    <t>Windom Peak</t>
  </si>
  <si>
    <t>"South Bross"</t>
  </si>
  <si>
    <t>"South Little Bear"</t>
  </si>
  <si>
    <t>"North Snowmass"</t>
  </si>
  <si>
    <t>"Northwest Lindsey"</t>
  </si>
  <si>
    <t>Capitol Peak</t>
  </si>
  <si>
    <t>Tabeguache Peak</t>
  </si>
  <si>
    <t>Torreys Peak</t>
  </si>
  <si>
    <t>Castle Peak</t>
  </si>
  <si>
    <t>Mesa Verde National Park</t>
  </si>
  <si>
    <t>North Maroon Peak</t>
  </si>
  <si>
    <t>Cortez and Mancos</t>
  </si>
  <si>
    <t>368 mi</t>
  </si>
  <si>
    <t>7 hrs</t>
  </si>
  <si>
    <t>Maroon Peak</t>
  </si>
  <si>
    <t>Southwest - Montezuma County</t>
  </si>
  <si>
    <t>Pyramid Peak</t>
  </si>
  <si>
    <t>Estes Park and Grand Lake</t>
  </si>
  <si>
    <t>70 mi</t>
  </si>
  <si>
    <t>2 hrs</t>
  </si>
  <si>
    <t>Northwest</t>
  </si>
  <si>
    <t>Snowmass Mountain</t>
  </si>
  <si>
    <t>Black Canyon of the Gunnison</t>
  </si>
  <si>
    <t>Montrose</t>
  </si>
  <si>
    <t>262 mi</t>
  </si>
  <si>
    <t>5 hrs 15 min</t>
  </si>
  <si>
    <t>Southwest - Montrose County</t>
  </si>
  <si>
    <t>"Sunlight Spire"</t>
  </si>
  <si>
    <t>Gennessee Park</t>
  </si>
  <si>
    <t>?</t>
  </si>
  <si>
    <t>Curecanti National Recreation Area</t>
  </si>
  <si>
    <t>Grizzly Peak A</t>
  </si>
  <si>
    <t>Gunnison</t>
  </si>
  <si>
    <t>Stewart Peak</t>
  </si>
  <si>
    <t>Canyons of the Ancients National Monument</t>
  </si>
  <si>
    <t>213 mi</t>
  </si>
  <si>
    <t>4 hrs 15 min</t>
  </si>
  <si>
    <t>Columbia Point</t>
  </si>
  <si>
    <t xml:space="preserve">     Ute Mountain</t>
  </si>
  <si>
    <t>"Kitty Kat Carson"</t>
  </si>
  <si>
    <t xml:space="preserve">     Hovenweep National Monument</t>
  </si>
  <si>
    <t>Cortez</t>
  </si>
  <si>
    <t>"The Prow"</t>
  </si>
  <si>
    <t>Great Sand Dunes</t>
  </si>
  <si>
    <t>Mosca</t>
  </si>
  <si>
    <t>Pigeon Peak</t>
  </si>
  <si>
    <t>235 mi</t>
  </si>
  <si>
    <t>4 hrs</t>
  </si>
  <si>
    <t>Mt. Ouray</t>
  </si>
  <si>
    <t>Bent's Old Fort - Historic Site</t>
  </si>
  <si>
    <t>Ice Mountain</t>
  </si>
  <si>
    <t>La Junta</t>
  </si>
  <si>
    <t>182 mi</t>
  </si>
  <si>
    <t>3 hrs 5 min</t>
  </si>
  <si>
    <t>Southeast</t>
  </si>
  <si>
    <t>Fletcher Mountain</t>
  </si>
  <si>
    <t>Fruita</t>
  </si>
  <si>
    <t>Gemini Peak</t>
  </si>
  <si>
    <t>260 mi</t>
  </si>
  <si>
    <t>4 hrs 45 mins</t>
  </si>
  <si>
    <t>West</t>
  </si>
  <si>
    <t>Pacific Peak</t>
  </si>
  <si>
    <t>Eagles Nest Wilderness</t>
  </si>
  <si>
    <t>Dinosaur National Monument</t>
  </si>
  <si>
    <t>Cathedral Peak A</t>
  </si>
  <si>
    <t>Dinosaur</t>
  </si>
  <si>
    <t>296 mi</t>
  </si>
  <si>
    <t>6 hrs</t>
  </si>
  <si>
    <t>French Mountain</t>
  </si>
  <si>
    <t>Mount Falcon Park</t>
  </si>
  <si>
    <t>Florissant Fossil Beds National Monument</t>
  </si>
  <si>
    <t>Florissant</t>
  </si>
  <si>
    <t>Mt. Hope A</t>
  </si>
  <si>
    <t>99 mi</t>
  </si>
  <si>
    <t xml:space="preserve">Central </t>
  </si>
  <si>
    <t>"Thunder Pyramid"</t>
  </si>
  <si>
    <t>Sand Creek Massacre Historic Site</t>
  </si>
  <si>
    <t>Kiowa County</t>
  </si>
  <si>
    <t>193 mi</t>
  </si>
  <si>
    <t>3 hrs 15 min</t>
  </si>
  <si>
    <t>East</t>
  </si>
  <si>
    <t>Mt. Adams A</t>
  </si>
  <si>
    <t>Yucca House National Monument</t>
  </si>
  <si>
    <t>398 mi</t>
  </si>
  <si>
    <t xml:space="preserve">7 hrs 10 min </t>
  </si>
  <si>
    <t>Gladstone Peak</t>
  </si>
  <si>
    <t>Southwest</t>
  </si>
  <si>
    <t>State Parks</t>
  </si>
  <si>
    <t>Mt. Meeker</t>
  </si>
  <si>
    <t>http://cpw.state.co.us/Documents/ParksBrochureWeb.pdf</t>
  </si>
  <si>
    <t>Casco Peak</t>
  </si>
  <si>
    <t>Red Mountain A</t>
  </si>
  <si>
    <t>Emerald Peak</t>
  </si>
  <si>
    <t>"Drift Peak"</t>
  </si>
  <si>
    <t>Horseshoe Mountain</t>
  </si>
  <si>
    <t>"Phoenix Peak"</t>
  </si>
  <si>
    <t>Vermilion Peak</t>
  </si>
  <si>
    <t>Frasco Benchmark</t>
  </si>
  <si>
    <t>Cronin Peak</t>
  </si>
  <si>
    <t>Mt. Buckskin</t>
  </si>
  <si>
    <t>Vestal Peak</t>
  </si>
  <si>
    <t>Jones Mountain A</t>
  </si>
  <si>
    <t>North Apostle</t>
  </si>
  <si>
    <t>Meeker Ridge</t>
  </si>
  <si>
    <t>Yosemite National Park</t>
  </si>
  <si>
    <t>Clinton Peak</t>
  </si>
  <si>
    <t>Visited</t>
  </si>
  <si>
    <t>Dyer Mountain</t>
  </si>
  <si>
    <t>cpw.state.co.us</t>
  </si>
  <si>
    <t>Crystal Peak A</t>
  </si>
  <si>
    <t>Traver Peak</t>
  </si>
  <si>
    <t>Mt. Edwards</t>
  </si>
  <si>
    <t>California Peak</t>
  </si>
  <si>
    <t>Mt. Oklahoma</t>
  </si>
  <si>
    <t>Mt. Spalding</t>
  </si>
  <si>
    <t>Half Peak</t>
  </si>
  <si>
    <t>Atlantic Peak</t>
  </si>
  <si>
    <t>Hagerman Peak</t>
  </si>
  <si>
    <t>Turret Peak A</t>
  </si>
  <si>
    <t>Unnamed 13832</t>
  </si>
  <si>
    <t>Holy Cross Ridge</t>
  </si>
  <si>
    <t>Iowa Peak</t>
  </si>
  <si>
    <t>Jupiter Mountain</t>
  </si>
  <si>
    <t>"Huerfano Peak"</t>
  </si>
  <si>
    <t>Jagged Mountain</t>
  </si>
  <si>
    <t>"Lackawanna"</t>
  </si>
  <si>
    <t>Mt. Silverheels</t>
  </si>
  <si>
    <t>Arkansas Headwaters Recreation Area</t>
  </si>
  <si>
    <t>Medicine Bow-Routt National Forest</t>
  </si>
  <si>
    <t>Rio Grande Pyramid</t>
  </si>
  <si>
    <t>Barr Lake</t>
  </si>
  <si>
    <t>Commerce City</t>
  </si>
  <si>
    <t>26 mi</t>
  </si>
  <si>
    <t>Teakettle Mountain</t>
  </si>
  <si>
    <t>35 min</t>
  </si>
  <si>
    <t>Central</t>
  </si>
  <si>
    <t>Boyd Lake</t>
  </si>
  <si>
    <t>Unnamed 13811</t>
  </si>
  <si>
    <t>Loveland</t>
  </si>
  <si>
    <t>53 mi</t>
  </si>
  <si>
    <t>1 hr</t>
  </si>
  <si>
    <t>Dallas Peak</t>
  </si>
  <si>
    <t>Castlewood Canyon</t>
  </si>
  <si>
    <t>Niagara Peak</t>
  </si>
  <si>
    <t>Castle Rock</t>
  </si>
  <si>
    <t>36 mi</t>
  </si>
  <si>
    <t>American Peak</t>
  </si>
  <si>
    <t>Chatfield</t>
  </si>
  <si>
    <t>Littleton</t>
  </si>
  <si>
    <t>Trinity Peak</t>
  </si>
  <si>
    <t>27 mi</t>
  </si>
  <si>
    <t>45 mi</t>
  </si>
  <si>
    <t>Red Rocks</t>
  </si>
  <si>
    <t>Arrow Peak</t>
  </si>
  <si>
    <t>Cherry Creek</t>
  </si>
  <si>
    <t>Aurora</t>
  </si>
  <si>
    <t>23 mi</t>
  </si>
  <si>
    <t xml:space="preserve">35 min </t>
  </si>
  <si>
    <t>Chataqua Park</t>
  </si>
  <si>
    <t>"Castleabra"</t>
  </si>
  <si>
    <t>Organ Mountain A</t>
  </si>
  <si>
    <t>Cheyenne Mountain</t>
  </si>
  <si>
    <t>Colorado Springs</t>
  </si>
  <si>
    <t>77 mi</t>
  </si>
  <si>
    <t>1 hr 35 min</t>
  </si>
  <si>
    <t>"Obstruction Peak"</t>
  </si>
  <si>
    <t>Crawford</t>
  </si>
  <si>
    <t>Mt. Arkansas</t>
  </si>
  <si>
    <t>255 mi</t>
  </si>
  <si>
    <t>4 hrs 45 min</t>
  </si>
  <si>
    <t>Unnamed 13795</t>
  </si>
  <si>
    <t>Eldorado Canyon</t>
  </si>
  <si>
    <t>Boulder</t>
  </si>
  <si>
    <t>28 mi</t>
  </si>
  <si>
    <t>45 min</t>
  </si>
  <si>
    <t>"Column Ridge"</t>
  </si>
  <si>
    <t>Eleven Mile</t>
  </si>
  <si>
    <t>Rito Alto Peak</t>
  </si>
  <si>
    <t>Lake George</t>
  </si>
  <si>
    <t>117 mi</t>
  </si>
  <si>
    <t>2 hrs 20 min</t>
  </si>
  <si>
    <t>Square Top Mountain A</t>
  </si>
  <si>
    <t>Elkhead Reservoir</t>
  </si>
  <si>
    <t>Animas Mountain</t>
  </si>
  <si>
    <t>Hayden</t>
  </si>
  <si>
    <t>196 mi</t>
  </si>
  <si>
    <t>3 hrs 45 min</t>
  </si>
  <si>
    <t>Collegiate Peaks Wilderness</t>
  </si>
  <si>
    <t>Potosi Peak</t>
  </si>
  <si>
    <t>X</t>
  </si>
  <si>
    <t>Golden Gate Canyon</t>
  </si>
  <si>
    <t>Golden</t>
  </si>
  <si>
    <t>Rinker Peak</t>
  </si>
  <si>
    <t>33 mi</t>
  </si>
  <si>
    <t xml:space="preserve">55 min </t>
  </si>
  <si>
    <t>Smith Rock State Park</t>
  </si>
  <si>
    <t>Mosquito Peak</t>
  </si>
  <si>
    <t>Harvey Gap</t>
  </si>
  <si>
    <t>Rifle</t>
  </si>
  <si>
    <t>188 mi</t>
  </si>
  <si>
    <t>Golden Horn</t>
  </si>
  <si>
    <t>Gifford Pinchot National Forest</t>
  </si>
  <si>
    <t>Highline Lake</t>
  </si>
  <si>
    <t>Loma</t>
  </si>
  <si>
    <t>Garfield Peak A</t>
  </si>
  <si>
    <t>273 mi</t>
  </si>
  <si>
    <t>4 hrs 25 min</t>
  </si>
  <si>
    <t>Snoqualmie National Forest</t>
  </si>
  <si>
    <t>The Sawtooth</t>
  </si>
  <si>
    <t>Jackson Lake</t>
  </si>
  <si>
    <t>James M. Robb Colorado River</t>
  </si>
  <si>
    <t>Grand Junction</t>
  </si>
  <si>
    <t>McNamee Peak</t>
  </si>
  <si>
    <t>246 mi</t>
  </si>
  <si>
    <t>3 hrs 55 min</t>
  </si>
  <si>
    <t>Unnamed 13768</t>
  </si>
  <si>
    <t>John Martin Reservoir</t>
  </si>
  <si>
    <t>Las Animas</t>
  </si>
  <si>
    <t>214 mi</t>
  </si>
  <si>
    <t>3 hrs 30 min</t>
  </si>
  <si>
    <t>US Grant Peak</t>
  </si>
  <si>
    <t>Lake Pueblo</t>
  </si>
  <si>
    <t>Pueblo</t>
  </si>
  <si>
    <t>"West Trinity"</t>
  </si>
  <si>
    <t>119 mi</t>
  </si>
  <si>
    <t xml:space="preserve">2 hrs </t>
  </si>
  <si>
    <t>"Magdalene Mountain"</t>
  </si>
  <si>
    <t>Lathrop</t>
  </si>
  <si>
    <t>Walsenburg</t>
  </si>
  <si>
    <t>164 mi</t>
  </si>
  <si>
    <t>Deer Mountain A</t>
  </si>
  <si>
    <t>2 hrs 35 min</t>
  </si>
  <si>
    <t>South Central</t>
  </si>
  <si>
    <t>Lone Mesa</t>
  </si>
  <si>
    <t>Bull Hill A</t>
  </si>
  <si>
    <t>Lory</t>
  </si>
  <si>
    <t>Bellvue</t>
  </si>
  <si>
    <t>Fuller Peak</t>
  </si>
  <si>
    <t>75 mi</t>
  </si>
  <si>
    <t>1 hr 30 min</t>
  </si>
  <si>
    <t>San Miguel Peak</t>
  </si>
  <si>
    <t>Mancos</t>
  </si>
  <si>
    <t>Storm King Peak</t>
  </si>
  <si>
    <t>370 mi</t>
  </si>
  <si>
    <t>6 hrs 35 min</t>
  </si>
  <si>
    <t>Mount Galbraith Park</t>
  </si>
  <si>
    <t>Mueller</t>
  </si>
  <si>
    <t>Divide</t>
  </si>
  <si>
    <t>Mt. Sheridan</t>
  </si>
  <si>
    <t>98 mi</t>
  </si>
  <si>
    <t>1 hr 50 min</t>
  </si>
  <si>
    <t>Mt. Aetna</t>
  </si>
  <si>
    <t>Navajo</t>
  </si>
  <si>
    <t>Arboles</t>
  </si>
  <si>
    <t>317 mi</t>
  </si>
  <si>
    <t>5 hrs 40 min</t>
  </si>
  <si>
    <t>San Isabel National Forest</t>
  </si>
  <si>
    <t>"East Trinity"</t>
  </si>
  <si>
    <t>North Sterling</t>
  </si>
  <si>
    <t>"West Dallas"</t>
  </si>
  <si>
    <t>Paint Mines Interpretive Park</t>
  </si>
  <si>
    <t>"West Eolus"</t>
  </si>
  <si>
    <t>Paonia</t>
  </si>
  <si>
    <t>"South Windom"</t>
  </si>
  <si>
    <t>Pearl Lake</t>
  </si>
  <si>
    <t>Ptarmigan Peak</t>
  </si>
  <si>
    <t>Ridgway</t>
  </si>
  <si>
    <t>Rifle Falls</t>
  </si>
  <si>
    <t>Sayres Benchmark</t>
  </si>
  <si>
    <t>190 mi</t>
  </si>
  <si>
    <t>North West</t>
  </si>
  <si>
    <t>Grizzly Peak B</t>
  </si>
  <si>
    <t>Rifle Gap</t>
  </si>
  <si>
    <t>Argentine Peak</t>
  </si>
  <si>
    <t>Roxborough</t>
  </si>
  <si>
    <t>Maroon Bells Snowmass Wilderness</t>
  </si>
  <si>
    <t>Pilot Knob A</t>
  </si>
  <si>
    <t>St. Vrain</t>
  </si>
  <si>
    <t>Unnamed 13736</t>
  </si>
  <si>
    <t>San Luis</t>
  </si>
  <si>
    <t>"T 0"</t>
  </si>
  <si>
    <t>Spinney Mountain</t>
  </si>
  <si>
    <t>Vermejo Peak</t>
  </si>
  <si>
    <t>124 mi</t>
  </si>
  <si>
    <t>2 hrs 25 mim</t>
  </si>
  <si>
    <t>"Animas Forks Mountain"</t>
  </si>
  <si>
    <t>Stagecoach</t>
  </si>
  <si>
    <t>Steamboat Springs</t>
  </si>
  <si>
    <t>165 mi</t>
  </si>
  <si>
    <t>3 hrs 10min</t>
  </si>
  <si>
    <t>Unnamed 13722</t>
  </si>
  <si>
    <t xml:space="preserve">North West </t>
  </si>
  <si>
    <t>State Forest</t>
  </si>
  <si>
    <t>Walden</t>
  </si>
  <si>
    <t>Pole Creek Mountain</t>
  </si>
  <si>
    <t>143 mi</t>
  </si>
  <si>
    <t>3 hrs</t>
  </si>
  <si>
    <t>North Central</t>
  </si>
  <si>
    <t>Silver Mountain A</t>
  </si>
  <si>
    <t>Staunton</t>
  </si>
  <si>
    <t>Pine</t>
  </si>
  <si>
    <t>44 mi</t>
  </si>
  <si>
    <t>Unnamed 13712</t>
  </si>
  <si>
    <t>Steamboat Lake</t>
  </si>
  <si>
    <t>Twining Peak</t>
  </si>
  <si>
    <t>Clark</t>
  </si>
  <si>
    <t>189 mi</t>
  </si>
  <si>
    <t>3 hrs 35 min</t>
  </si>
  <si>
    <t>La Garita Peak</t>
  </si>
  <si>
    <t>Sweitzer Lake</t>
  </si>
  <si>
    <t>Delta</t>
  </si>
  <si>
    <t>285 mi</t>
  </si>
  <si>
    <t>4 hrs 40 min</t>
  </si>
  <si>
    <t>Grizzly Mountain</t>
  </si>
  <si>
    <t>Sylvan Lake</t>
  </si>
  <si>
    <t>Unnamed 13708</t>
  </si>
  <si>
    <t xml:space="preserve">Eagle </t>
  </si>
  <si>
    <t>147 mi</t>
  </si>
  <si>
    <t>2 hrs 45 min</t>
  </si>
  <si>
    <t>Colony Baldy</t>
  </si>
  <si>
    <t>Trinidad Lake</t>
  </si>
  <si>
    <t>Trinidad</t>
  </si>
  <si>
    <t>Peak Six</t>
  </si>
  <si>
    <t>201 mi</t>
  </si>
  <si>
    <t xml:space="preserve">3 hrs 5 min </t>
  </si>
  <si>
    <t>South</t>
  </si>
  <si>
    <t>Peak Thirteen</t>
  </si>
  <si>
    <t>Vega</t>
  </si>
  <si>
    <t>Collbran</t>
  </si>
  <si>
    <t>221 mi</t>
  </si>
  <si>
    <t>Glacier Point</t>
  </si>
  <si>
    <t>4 hrs 30 min</t>
  </si>
  <si>
    <t>Yampa River</t>
  </si>
  <si>
    <t>Treasurevault Mountain</t>
  </si>
  <si>
    <t>Grizzly Peak C</t>
  </si>
  <si>
    <t>Peak Fifteen</t>
  </si>
  <si>
    <t>Baldy Alto</t>
  </si>
  <si>
    <t>Monitor Peak</t>
  </si>
  <si>
    <t>Gilpin Peak</t>
  </si>
  <si>
    <t>"Kismet"</t>
  </si>
  <si>
    <t>Rolling Mountain</t>
  </si>
  <si>
    <t>Loveland Mountain</t>
  </si>
  <si>
    <t>"Every Mountain"</t>
  </si>
  <si>
    <t>Wheeler Mountain</t>
  </si>
  <si>
    <t>"Cooper Creek Peak"</t>
  </si>
  <si>
    <t>Unnamed 13688</t>
  </si>
  <si>
    <t>Cirque Mountain</t>
  </si>
  <si>
    <t>Bald Mountain A</t>
  </si>
  <si>
    <t>Mt. Oso</t>
  </si>
  <si>
    <t>White Ridge</t>
  </si>
  <si>
    <t>Peak Seven</t>
  </si>
  <si>
    <t>Unnamed 13681</t>
  </si>
  <si>
    <t>Purgatoire Peak</t>
  </si>
  <si>
    <t>"Quarter Peak"</t>
  </si>
  <si>
    <t>Mt. Tweto</t>
  </si>
  <si>
    <t>Mt. Jackson</t>
  </si>
  <si>
    <t>Mt. White</t>
  </si>
  <si>
    <t>"K2"</t>
  </si>
  <si>
    <t>Carbonate Mountain A</t>
  </si>
  <si>
    <t>Lookout Peak</t>
  </si>
  <si>
    <t>"Northwest Pole"</t>
  </si>
  <si>
    <t>Unnamed 13660 A</t>
  </si>
  <si>
    <t>Wood Mountain A</t>
  </si>
  <si>
    <t>Unnamed 13660 B</t>
  </si>
  <si>
    <t>Hamilton Peak</t>
  </si>
  <si>
    <t>Carson Peak</t>
  </si>
  <si>
    <t>Coxcomb Peak</t>
  </si>
  <si>
    <t>Taylor Mountain A</t>
  </si>
  <si>
    <t>Mt. Mamma</t>
  </si>
  <si>
    <t>Mt. Champion</t>
  </si>
  <si>
    <t>Redcliff</t>
  </si>
  <si>
    <t>Bard Peak</t>
  </si>
  <si>
    <t>"Electric Pass Peak"</t>
  </si>
  <si>
    <t>Peak 10</t>
  </si>
  <si>
    <t>"Anderson Peak"</t>
  </si>
  <si>
    <t>Unnamed 13631</t>
  </si>
  <si>
    <t>"Esprit Point"</t>
  </si>
  <si>
    <t>Mt. Silex</t>
  </si>
  <si>
    <t>White Dome</t>
  </si>
  <si>
    <t>West Spanish Peak</t>
  </si>
  <si>
    <t>Unnamed 13626</t>
  </si>
  <si>
    <t>Snowmass Peak</t>
  </si>
  <si>
    <t>"Noname Needle"</t>
  </si>
  <si>
    <t>The Guardian</t>
  </si>
  <si>
    <t>Mt. Blaurock</t>
  </si>
  <si>
    <t>Father Dyer Peak</t>
  </si>
  <si>
    <t>North Star Mountain</t>
  </si>
  <si>
    <t>"T 12"</t>
  </si>
  <si>
    <t>Pico Aislado</t>
  </si>
  <si>
    <t>Tijeras Peak</t>
  </si>
  <si>
    <t>Jones Peak</t>
  </si>
  <si>
    <t>Gray Wolf Mountain</t>
  </si>
  <si>
    <t>"North Crown Mountain"</t>
  </si>
  <si>
    <t>Electric Peak</t>
  </si>
  <si>
    <t>Cyclone Mountain A</t>
  </si>
  <si>
    <t>"Lo Carb"</t>
  </si>
  <si>
    <t>Matterhorn Peak</t>
  </si>
  <si>
    <t>Peak One</t>
  </si>
  <si>
    <t>Cottonwood Peak A</t>
  </si>
  <si>
    <t>Mt. Cosgriff</t>
  </si>
  <si>
    <t>McClellan Mountain</t>
  </si>
  <si>
    <t>Unnamed 13581</t>
  </si>
  <si>
    <t>Mt. Emma</t>
  </si>
  <si>
    <t>Mt. Powell A</t>
  </si>
  <si>
    <t>Gore</t>
  </si>
  <si>
    <t>Twin Peaks A</t>
  </si>
  <si>
    <t>Unnamed 13580 A</t>
  </si>
  <si>
    <t>Clark Peak A</t>
  </si>
  <si>
    <t>Unnamed 13580 B</t>
  </si>
  <si>
    <t>Unnamed 13580 C</t>
  </si>
  <si>
    <t>Chiefs Head Peak</t>
  </si>
  <si>
    <t>Mt. Evans B</t>
  </si>
  <si>
    <t>Unnamed 13577</t>
  </si>
  <si>
    <t>Gravel Mountain A</t>
  </si>
  <si>
    <t>Rosalie Peak</t>
  </si>
  <si>
    <t>Greylock Mountain</t>
  </si>
  <si>
    <t>Mt. Parnassus</t>
  </si>
  <si>
    <t>Broken Hand Peak</t>
  </si>
  <si>
    <t>Weston Peak</t>
  </si>
  <si>
    <t>Crown Mountain</t>
  </si>
  <si>
    <t>"West Apostle"</t>
  </si>
  <si>
    <t>"Coffeepot"</t>
  </si>
  <si>
    <t>"Gudy Peak"</t>
  </si>
  <si>
    <t>Unnamed 13565</t>
  </si>
  <si>
    <t>Hayden Peak A</t>
  </si>
  <si>
    <t>Hagues Peak</t>
  </si>
  <si>
    <t>Wasatch Mountain</t>
  </si>
  <si>
    <t>Unnamed 13555</t>
  </si>
  <si>
    <t>Fluted Peak</t>
  </si>
  <si>
    <t>McCauley Peak</t>
  </si>
  <si>
    <t>Pettingell Peak</t>
  </si>
  <si>
    <t>Gibbs Peak A</t>
  </si>
  <si>
    <t>Tower Mountain</t>
  </si>
  <si>
    <t>Unnamed 13550</t>
  </si>
  <si>
    <t>Kuss Peak</t>
  </si>
  <si>
    <t>Unnamed 13546</t>
  </si>
  <si>
    <t>Unnamed 13545</t>
  </si>
  <si>
    <t>"T 2"</t>
  </si>
  <si>
    <t>Whitecross Mountain</t>
  </si>
  <si>
    <t>Unnamed 13541</t>
  </si>
  <si>
    <t>White Rock Mountain</t>
  </si>
  <si>
    <t>Unnamed 13540 A</t>
  </si>
  <si>
    <t>Unnamed 13540 B</t>
  </si>
  <si>
    <t>Peak Eleven</t>
  </si>
  <si>
    <t>"V 4"</t>
  </si>
  <si>
    <t>Emma Burr Mountain</t>
  </si>
  <si>
    <t>Unnamed 13537</t>
  </si>
  <si>
    <t>"K 49"</t>
  </si>
  <si>
    <t>Unnamed 13535</t>
  </si>
  <si>
    <t>Twin Peaks A South</t>
  </si>
  <si>
    <t>Ervin Peak</t>
  </si>
  <si>
    <t>"Epaulie"</t>
  </si>
  <si>
    <t>Treasure Mountain A</t>
  </si>
  <si>
    <t>Boulder Mountain</t>
  </si>
  <si>
    <t>Leviathan Peak</t>
  </si>
  <si>
    <t>"V 3"</t>
  </si>
  <si>
    <t>"Peak of the Clouds"</t>
  </si>
  <si>
    <t>"Cataract Peak"</t>
  </si>
  <si>
    <t>Browns Peak</t>
  </si>
  <si>
    <t>Epaulet Mountain</t>
  </si>
  <si>
    <t>Milwaukee Peak</t>
  </si>
  <si>
    <t>Star Peak A</t>
  </si>
  <si>
    <t>Trinchera Peak</t>
  </si>
  <si>
    <t>Unnamed 13517 A</t>
  </si>
  <si>
    <t>Unnamed 13517 B</t>
  </si>
  <si>
    <t>Keefe Peak</t>
  </si>
  <si>
    <t>Ypsilon Mountain</t>
  </si>
  <si>
    <t>"Silver Peak"</t>
  </si>
  <si>
    <t>Unnamed 13510 A</t>
  </si>
  <si>
    <t>Unnamed 13510 B</t>
  </si>
  <si>
    <t>Bridal Peak</t>
  </si>
  <si>
    <t>Telluride Peak</t>
  </si>
  <si>
    <t>Eureka Mountain A</t>
  </si>
  <si>
    <t>"Lake Point"</t>
  </si>
  <si>
    <t>"Petroleum Peak"</t>
  </si>
  <si>
    <t>North Arapaho Peak</t>
  </si>
  <si>
    <t>Fairchild Mountain</t>
  </si>
  <si>
    <t>Unnamed 13500</t>
  </si>
  <si>
    <t>Needle Ridge</t>
  </si>
  <si>
    <t>Iron Nipple</t>
  </si>
  <si>
    <t>Red Mountain B</t>
  </si>
  <si>
    <t>Peak Sixteen</t>
  </si>
  <si>
    <t>"Big Bear Peak"</t>
  </si>
  <si>
    <t>Hunter Peak</t>
  </si>
  <si>
    <t>Pagoda Mountain</t>
  </si>
  <si>
    <t>Mears Peak</t>
  </si>
  <si>
    <t>Whitehouse Mountain A</t>
  </si>
  <si>
    <t>Provider</t>
  </si>
  <si>
    <t>Unnamed 13490</t>
  </si>
  <si>
    <t>Mt. Marcy</t>
  </si>
  <si>
    <t>Graystone Peak</t>
  </si>
  <si>
    <t>Cuatro Peak</t>
  </si>
  <si>
    <t>Storm Peak A</t>
  </si>
  <si>
    <t>Three Needles</t>
  </si>
  <si>
    <t>Canby Mountain</t>
  </si>
  <si>
    <t>Peak Three</t>
  </si>
  <si>
    <t>"T 10"</t>
  </si>
  <si>
    <t>Peak Two</t>
  </si>
  <si>
    <t>"V 10"</t>
  </si>
  <si>
    <t>Chipeta Mountain</t>
  </si>
  <si>
    <t>La Junta Peak</t>
  </si>
  <si>
    <t>Unnamed 13472 B</t>
  </si>
  <si>
    <t>Peak Eighteen</t>
  </si>
  <si>
    <t>Link</t>
  </si>
  <si>
    <t>Silver Mountain B</t>
  </si>
  <si>
    <t>Volunteers for Outdoor Colorado</t>
  </si>
  <si>
    <t>Mt. Ridgway</t>
  </si>
  <si>
    <t>http://www.voc.org/leadership-training-calendar</t>
  </si>
  <si>
    <t>Miranda Peak</t>
  </si>
  <si>
    <t>"Big Blue Peak"</t>
  </si>
  <si>
    <t>"Alamosito"</t>
  </si>
  <si>
    <t>"Pear Peak"</t>
  </si>
  <si>
    <t>Treasury Mountain</t>
  </si>
  <si>
    <t>Unnamed 13462</t>
  </si>
  <si>
    <t>Quail Mountain</t>
  </si>
  <si>
    <t>Unnamed 13460</t>
  </si>
  <si>
    <t>Sleeping Sexton</t>
  </si>
  <si>
    <t>San Joaquin Ridge</t>
  </si>
  <si>
    <t>"East Windom"</t>
  </si>
  <si>
    <t>Ute Ridge</t>
  </si>
  <si>
    <t>Hanson Peak</t>
  </si>
  <si>
    <t>"Campbell Creek Peak"</t>
  </si>
  <si>
    <t>Kendall Peak</t>
  </si>
  <si>
    <t>Horn Peak</t>
  </si>
  <si>
    <t>"Tundra Top"</t>
  </si>
  <si>
    <t>Hurricane Peak</t>
  </si>
  <si>
    <t>Apache Peak</t>
  </si>
  <si>
    <t>"S 6"</t>
  </si>
  <si>
    <t>"T 5"</t>
  </si>
  <si>
    <t>Taylor Peak A</t>
  </si>
  <si>
    <t>"Mascot Peak"</t>
  </si>
  <si>
    <t>"Mountaineer Peak"</t>
  </si>
  <si>
    <t>Unnamed 13433</t>
  </si>
  <si>
    <t>Keystone Science School</t>
  </si>
  <si>
    <t>Twin Sisters East</t>
  </si>
  <si>
    <t>Colorado Search and Rescue</t>
  </si>
  <si>
    <t>Jenkins Mountain</t>
  </si>
  <si>
    <t>https://www.coloradosarboard.org/JoiningCSRB.shtml</t>
  </si>
  <si>
    <t>"Sundog"</t>
  </si>
  <si>
    <t>"Oscars Peak"</t>
  </si>
  <si>
    <t>Gray Needle</t>
  </si>
  <si>
    <t>Vallecito Mountain</t>
  </si>
  <si>
    <t>Grizzly Peak D</t>
  </si>
  <si>
    <t>Unnamed 13427</t>
  </si>
  <si>
    <t>Mummy Mountain</t>
  </si>
  <si>
    <t>Spread Eagle Peak</t>
  </si>
  <si>
    <t>"Siberia Peak"</t>
  </si>
  <si>
    <t>Eagles Nest A</t>
  </si>
  <si>
    <t>Peak Ten</t>
  </si>
  <si>
    <t>The Index</t>
  </si>
  <si>
    <t>Rowe Peak</t>
  </si>
  <si>
    <t>North Twin Thumbs</t>
  </si>
  <si>
    <t>"Mt. SoSo"</t>
  </si>
  <si>
    <t>Little Giant Peak</t>
  </si>
  <si>
    <t>Cleveland Peak</t>
  </si>
  <si>
    <t>"Heisshorn"</t>
  </si>
  <si>
    <t>Peak Four</t>
  </si>
  <si>
    <t>"S 3"</t>
  </si>
  <si>
    <t>Navajo Peak A</t>
  </si>
  <si>
    <t>Rocky Mountain Rescue</t>
  </si>
  <si>
    <t>http://www.rockymountainrescue.org/outdoor-safety/</t>
  </si>
  <si>
    <t>Hilliard Peak</t>
  </si>
  <si>
    <t>Finnback Knob</t>
  </si>
  <si>
    <t>Mt. Wilcox</t>
  </si>
  <si>
    <t>Mariquita Peak</t>
  </si>
  <si>
    <t>Peak Nine</t>
  </si>
  <si>
    <t>Unnamed 13402</t>
  </si>
  <si>
    <t>Mt. Rhoda</t>
  </si>
  <si>
    <t>White Benchmark</t>
  </si>
  <si>
    <t>Unnamed 13401</t>
  </si>
  <si>
    <t>Baldy Chato</t>
  </si>
  <si>
    <t>Bartlett Mountain</t>
  </si>
  <si>
    <t>South Arapaho Peak</t>
  </si>
  <si>
    <t>Bent Peak</t>
  </si>
  <si>
    <t>Parry Peak A</t>
  </si>
  <si>
    <t>Rogers Peak</t>
  </si>
  <si>
    <t>"East Pole Creek Mountain"</t>
  </si>
  <si>
    <t>Chicago Peak</t>
  </si>
  <si>
    <t>Prize Benchmark</t>
  </si>
  <si>
    <t>Unnamed 13384</t>
  </si>
  <si>
    <t>Baldy Cinco</t>
  </si>
  <si>
    <t>Williams Mountain</t>
  </si>
  <si>
    <t>Gold Dust Peak</t>
  </si>
  <si>
    <t>Precarious Peak</t>
  </si>
  <si>
    <t>Geissler Mountain East</t>
  </si>
  <si>
    <t>Alpine Rescue Team</t>
  </si>
  <si>
    <t>South Lookout Peak</t>
  </si>
  <si>
    <t>REI</t>
  </si>
  <si>
    <t>"Triangle Peak"</t>
  </si>
  <si>
    <t>Wildlands Restoration Volunteers</t>
  </si>
  <si>
    <t>Music Mountain</t>
  </si>
  <si>
    <t>https://www.wlrv.net/index.php?section=events&amp;action=list&amp;type=trainings</t>
  </si>
  <si>
    <t>"S 5"</t>
  </si>
  <si>
    <t>Italian Mountain</t>
  </si>
  <si>
    <t>Unnamed 13377</t>
  </si>
  <si>
    <t>Lakes Peak</t>
  </si>
  <si>
    <t>Unnamed 13374</t>
  </si>
  <si>
    <t>Twin Sisters West</t>
  </si>
  <si>
    <t>Mt. Guyot</t>
  </si>
  <si>
    <t>Buckskin Benchmark</t>
  </si>
  <si>
    <t>Dome Mountain A</t>
  </si>
  <si>
    <t>Monumental Peak</t>
  </si>
  <si>
    <t>Sultan Mountain</t>
  </si>
  <si>
    <t>"Little Pikes Peak"</t>
  </si>
  <si>
    <t>De Anza Peak A</t>
  </si>
  <si>
    <t>Pearl Mountain</t>
  </si>
  <si>
    <t>Engelmann Peak</t>
  </si>
  <si>
    <t>"T 7"</t>
  </si>
  <si>
    <t>"Mt. Silverthorne"</t>
  </si>
  <si>
    <t>Hoosier Ridge</t>
  </si>
  <si>
    <t>Hermit Peak A</t>
  </si>
  <si>
    <t>Malemute Peak</t>
  </si>
  <si>
    <t>Peerless Mountain</t>
  </si>
  <si>
    <t>"Finnegan Peak"</t>
  </si>
  <si>
    <t>"Tincup Peak"</t>
  </si>
  <si>
    <t>Unnamed 13342</t>
  </si>
  <si>
    <t>Beattie Peak</t>
  </si>
  <si>
    <t>Mt. Herard</t>
  </si>
  <si>
    <t>Unnamed 13340 A</t>
  </si>
  <si>
    <t>Mt. Owen A</t>
  </si>
  <si>
    <t>Unnamed 13340 B</t>
  </si>
  <si>
    <t>Kendall Mountain</t>
  </si>
  <si>
    <t>South Twin Thumbs</t>
  </si>
  <si>
    <t>Glacier Ridge</t>
  </si>
  <si>
    <t>Ships Prow</t>
  </si>
  <si>
    <t>Brown Mountain A</t>
  </si>
  <si>
    <t>Unnamed 13336</t>
  </si>
  <si>
    <t>Mt. Maxwell</t>
  </si>
  <si>
    <t>Coney Benchmark</t>
  </si>
  <si>
    <t>Venable Peak</t>
  </si>
  <si>
    <t>De Anza Peak B</t>
  </si>
  <si>
    <t>Twin Peaks B</t>
  </si>
  <si>
    <t>"East Thorn"</t>
  </si>
  <si>
    <t>"Proposal Peak"</t>
  </si>
  <si>
    <t>Cinnamon Mountain A</t>
  </si>
  <si>
    <t>McHenrys Peak</t>
  </si>
  <si>
    <t>West Buffalo Peak</t>
  </si>
  <si>
    <t>Storm Peak B</t>
  </si>
  <si>
    <t>"East Storm"</t>
  </si>
  <si>
    <t>"Lake Fork Peak"</t>
  </si>
  <si>
    <t>Leahy Peak</t>
  </si>
  <si>
    <t>Sunshine Mountain A</t>
  </si>
  <si>
    <t>Trico Peak</t>
  </si>
  <si>
    <t>Palmyra Peak</t>
  </si>
  <si>
    <t>Unnamed 13317</t>
  </si>
  <si>
    <t>"T 8"</t>
  </si>
  <si>
    <t>"Baldy no es Cinco"</t>
  </si>
  <si>
    <t>Williams Mountain South A</t>
  </si>
  <si>
    <t>"Booby Prize"</t>
  </si>
  <si>
    <t>"C.T. Peak"</t>
  </si>
  <si>
    <t>"Oyster Peak"</t>
  </si>
  <si>
    <t>Mt. Alice</t>
  </si>
  <si>
    <t>Aztec Mountain</t>
  </si>
  <si>
    <t>Unnamed 13310</t>
  </si>
  <si>
    <t>Emery Peak</t>
  </si>
  <si>
    <t>"V 2"</t>
  </si>
  <si>
    <t>Echo Mountain</t>
  </si>
  <si>
    <t>Unnamed 13308</t>
  </si>
  <si>
    <t>Mt. Warren</t>
  </si>
  <si>
    <t>"P 2"</t>
  </si>
  <si>
    <t>Geissler Mountain West</t>
  </si>
  <si>
    <t>Summit Peak</t>
  </si>
  <si>
    <t>Middle Peak</t>
  </si>
  <si>
    <t>Mt. Daly A</t>
  </si>
  <si>
    <t>Unnamed 13300</t>
  </si>
  <si>
    <t>"P 3"</t>
  </si>
  <si>
    <t>"Tellurium Peak"</t>
  </si>
  <si>
    <t>East Buffalo Peak</t>
  </si>
  <si>
    <t>Unnamed 13300 C</t>
  </si>
  <si>
    <t>Galena Mountain A</t>
  </si>
  <si>
    <t>"El Punto"</t>
  </si>
  <si>
    <t>"Tigger Peak"</t>
  </si>
  <si>
    <t>Unnamed 13295</t>
  </si>
  <si>
    <t>James Peak</t>
  </si>
  <si>
    <t>"The Citadel"</t>
  </si>
  <si>
    <t>Electric Peak B</t>
  </si>
  <si>
    <t>Sheep Mountain A</t>
  </si>
  <si>
    <t>Waverly Mountain</t>
  </si>
  <si>
    <t>Dolores Peak</t>
  </si>
  <si>
    <t>Bonita Peak</t>
  </si>
  <si>
    <t>"Wayah Peak"</t>
  </si>
  <si>
    <t>Peak Five</t>
  </si>
  <si>
    <t>Truro Peak</t>
  </si>
  <si>
    <t>"Tabor Peak"</t>
  </si>
  <si>
    <t>Grizzly Peak E</t>
  </si>
  <si>
    <t>Mt. Lady Washington</t>
  </si>
  <si>
    <t>"Fools Pyramid"</t>
  </si>
  <si>
    <t>Comanche Peak A</t>
  </si>
  <si>
    <t>Ruby Mountain A</t>
  </si>
  <si>
    <t>Kiowa Peak</t>
  </si>
  <si>
    <t>Whitney Peak</t>
  </si>
  <si>
    <t>Mendota Peak</t>
  </si>
  <si>
    <t>Seigal Mountain</t>
  </si>
  <si>
    <t>"Crestolita"</t>
  </si>
  <si>
    <t>Twin Peaks B Northeast</t>
  </si>
  <si>
    <t>Pecks Peak</t>
  </si>
  <si>
    <t>Antora Peak</t>
  </si>
  <si>
    <t>Wildhorse Peak</t>
  </si>
  <si>
    <t>Geneva Peak</t>
  </si>
  <si>
    <t>Marble Mountain A</t>
  </si>
  <si>
    <t>Knife Point</t>
  </si>
  <si>
    <t>The Heisspitz</t>
  </si>
  <si>
    <t>Unnamed 13261</t>
  </si>
  <si>
    <t>"Peak G"</t>
  </si>
  <si>
    <t>Darley Mountain</t>
  </si>
  <si>
    <t>Unnamed 13260 A</t>
  </si>
  <si>
    <t>Unnamed 13260 B</t>
  </si>
  <si>
    <t>"V 9"</t>
  </si>
  <si>
    <t>Whitehead Peak</t>
  </si>
  <si>
    <t>Broken Hill</t>
  </si>
  <si>
    <t>"Sheep Rock Mountain"</t>
  </si>
  <si>
    <t>Henry Mountain</t>
  </si>
  <si>
    <t>"Van Wit"</t>
  </si>
  <si>
    <t>Unnamed 13253</t>
  </si>
  <si>
    <t>Unnamed 13253 South</t>
  </si>
  <si>
    <t>"S 8"</t>
  </si>
  <si>
    <t>Mt. Bancroft</t>
  </si>
  <si>
    <t>"P 1"</t>
  </si>
  <si>
    <t>Unnamed 13248</t>
  </si>
  <si>
    <t>"Peak Z"</t>
  </si>
  <si>
    <t>Spring Mountain</t>
  </si>
  <si>
    <t>Unnamed 13244</t>
  </si>
  <si>
    <t>"S 4"</t>
  </si>
  <si>
    <t>"Fortress Peak"</t>
  </si>
  <si>
    <t>Landslide Peak</t>
  </si>
  <si>
    <t>Notch Mountain</t>
  </si>
  <si>
    <t>Unnamed 13235</t>
  </si>
  <si>
    <t>Mt. Sniktau</t>
  </si>
  <si>
    <t>Turner Peak</t>
  </si>
  <si>
    <t>Belleview Mountain A</t>
  </si>
  <si>
    <t>Hesperus Mountain</t>
  </si>
  <si>
    <t>"Cassi Peak"</t>
  </si>
  <si>
    <t>Unnamed 13232 B</t>
  </si>
  <si>
    <t>Unnamed 13230 A</t>
  </si>
  <si>
    <t>"Peak Q"</t>
  </si>
  <si>
    <t>Unnamed 13230 B</t>
  </si>
  <si>
    <t>"Peak F"</t>
  </si>
  <si>
    <t>Red Mountain C</t>
  </si>
  <si>
    <t>Unnamed 13229</t>
  </si>
  <si>
    <t>Peak Eight</t>
  </si>
  <si>
    <t>Mt. Audubon</t>
  </si>
  <si>
    <t>Unnamed 13222 A</t>
  </si>
  <si>
    <t>Unnamed 13222 B</t>
  </si>
  <si>
    <t>Macomber Peak</t>
  </si>
  <si>
    <t>"Weminuche Peak"</t>
  </si>
  <si>
    <t>"Peak C"</t>
  </si>
  <si>
    <t>"S 7"</t>
  </si>
  <si>
    <t>Greenhalgh Mountain</t>
  </si>
  <si>
    <t>Lavender Peak</t>
  </si>
  <si>
    <t>Hagar Mountain</t>
  </si>
  <si>
    <t>King Solomon Mountain</t>
  </si>
  <si>
    <t>California Mountain A</t>
  </si>
  <si>
    <t>Ellingwood Ridge</t>
  </si>
  <si>
    <t>"Peak E"</t>
  </si>
  <si>
    <t>Little Finger</t>
  </si>
  <si>
    <t>Keyboard of the Winds</t>
  </si>
  <si>
    <t>Irving Peak</t>
  </si>
  <si>
    <t>Jones Mountain B</t>
  </si>
  <si>
    <t>Engineer Mountain A</t>
  </si>
  <si>
    <t>Unnamed 13216</t>
  </si>
  <si>
    <t>"Hassell Peak"</t>
  </si>
  <si>
    <t>Red Peak A</t>
  </si>
  <si>
    <t>Fairview Peak A</t>
  </si>
  <si>
    <t>"Hardrocker"</t>
  </si>
  <si>
    <t>"Peak L"</t>
  </si>
  <si>
    <t>Thirsty Peak</t>
  </si>
  <si>
    <t>Campbell Peak</t>
  </si>
  <si>
    <t>Unnamed 13212</t>
  </si>
  <si>
    <t>Homestake Peak</t>
  </si>
  <si>
    <t>Gladstone Ridge</t>
  </si>
  <si>
    <t>Lambertson Peak</t>
  </si>
  <si>
    <t>Teocalli Mountain</t>
  </si>
  <si>
    <t>Powell Peak</t>
  </si>
  <si>
    <t>Hayden Mountain South</t>
  </si>
  <si>
    <t>Unnamed 13206</t>
  </si>
  <si>
    <t>Jacque Peak</t>
  </si>
  <si>
    <t>Eagle Peak A</t>
  </si>
  <si>
    <t>Mt. Nebo</t>
  </si>
  <si>
    <t>Lenawee Mountain</t>
  </si>
  <si>
    <t>Bennett Peak</t>
  </si>
  <si>
    <t>Tuttle Mountain</t>
  </si>
  <si>
    <t>Williams Mountain South B</t>
  </si>
  <si>
    <t>"Leaning South Peak"</t>
  </si>
  <si>
    <t>Unnamed 13202</t>
  </si>
  <si>
    <t>Unnamed 13201</t>
  </si>
  <si>
    <t>"Mountain Boy Peak"</t>
  </si>
  <si>
    <t>Peak 9</t>
  </si>
  <si>
    <t>London Mountain</t>
  </si>
  <si>
    <t>"Fancy Peak"</t>
  </si>
  <si>
    <t>Mt. Moss</t>
  </si>
  <si>
    <t>Red Peak B</t>
  </si>
  <si>
    <t>Sheep Mountain B</t>
  </si>
  <si>
    <t>Mt. Valois</t>
  </si>
  <si>
    <t>Beaubien Peak</t>
  </si>
  <si>
    <t>Rowe Mountain</t>
  </si>
  <si>
    <t>Bullion Mountain</t>
  </si>
  <si>
    <t>"Mt. Valhalla"</t>
  </si>
  <si>
    <t>Babcock Peak</t>
  </si>
  <si>
    <t>Unnamed 13180 A</t>
  </si>
  <si>
    <t>Santa Fe Peak</t>
  </si>
  <si>
    <t>Grand Turk</t>
  </si>
  <si>
    <t>Unnamed 13180 B</t>
  </si>
  <si>
    <t>"Southwest Lenawee"</t>
  </si>
  <si>
    <t>Unnamed 13180 C</t>
  </si>
  <si>
    <t>Point Pun</t>
  </si>
  <si>
    <t>Yellow Mountain South</t>
  </si>
  <si>
    <t>Copeland Mountain</t>
  </si>
  <si>
    <t>Conejos Peak</t>
  </si>
  <si>
    <t>Unnamed 13169</t>
  </si>
  <si>
    <t>Sheep Mountain C</t>
  </si>
  <si>
    <t>Amherst Mountain</t>
  </si>
  <si>
    <t>"Stony Pass Peak"</t>
  </si>
  <si>
    <t>Kelso Mountain</t>
  </si>
  <si>
    <t>Unnamed 13164</t>
  </si>
  <si>
    <t>Mt. Helen</t>
  </si>
  <si>
    <t>Unnamed 13162 A</t>
  </si>
  <si>
    <t>Unnamed 13162 B</t>
  </si>
  <si>
    <t>Unnamed 13159</t>
  </si>
  <si>
    <t>Twilight Peak</t>
  </si>
  <si>
    <t>Unnamed 13158</t>
  </si>
  <si>
    <t>"Window Peak"</t>
  </si>
  <si>
    <t>"V 5"</t>
  </si>
  <si>
    <t>Unnamed 13155</t>
  </si>
  <si>
    <t>Baldy Mountain A</t>
  </si>
  <si>
    <t>"Medano Peak"</t>
  </si>
  <si>
    <t>Taylor Peak B</t>
  </si>
  <si>
    <t>Unnamed 13153</t>
  </si>
  <si>
    <t>"Could Be"</t>
  </si>
  <si>
    <t>Pomeroy Mountain A</t>
  </si>
  <si>
    <t>Montezuma Peak</t>
  </si>
  <si>
    <t>Arikaree Peak</t>
  </si>
  <si>
    <t>South River Peak</t>
  </si>
  <si>
    <t>Unnamed 13147</t>
  </si>
  <si>
    <t>Mt. Flora</t>
  </si>
  <si>
    <t>Unnamed 13145 A</t>
  </si>
  <si>
    <t>Unnamed 13145 B</t>
  </si>
  <si>
    <t>Precipice Peak</t>
  </si>
  <si>
    <t>Little Horn Peak</t>
  </si>
  <si>
    <t>Willoughby Mountain</t>
  </si>
  <si>
    <t>Unnamed 13140</t>
  </si>
  <si>
    <t>Peak Twelve</t>
  </si>
  <si>
    <t>"West Virginia"</t>
  </si>
  <si>
    <t>"West Truro"</t>
  </si>
  <si>
    <t>Unnamed 13140 C</t>
  </si>
  <si>
    <t>Emerson Mountain</t>
  </si>
  <si>
    <t>Unnamed 13140 B</t>
  </si>
  <si>
    <t>Guyselman Mountain</t>
  </si>
  <si>
    <t>Robeson Peak</t>
  </si>
  <si>
    <t>"Dicker`s Peck"</t>
  </si>
  <si>
    <t>Savage Peak</t>
  </si>
  <si>
    <t>Hayden Mountain North</t>
  </si>
  <si>
    <t>Ogalalla Peak</t>
  </si>
  <si>
    <t>Hunchback Mountain</t>
  </si>
  <si>
    <t>Francisco Peak</t>
  </si>
  <si>
    <t>"S 9"</t>
  </si>
  <si>
    <t>Sullivan Mountain</t>
  </si>
  <si>
    <t>Unnamed 13132</t>
  </si>
  <si>
    <t>Sewanee Peak</t>
  </si>
  <si>
    <t>Mt. Eva</t>
  </si>
  <si>
    <t>"Rain Peak"</t>
  </si>
  <si>
    <t>Black Benchmark</t>
  </si>
  <si>
    <t>Lomo Liso Mountain</t>
  </si>
  <si>
    <t>"Pika Peak"</t>
  </si>
  <si>
    <t>Mt. Kennedy</t>
  </si>
  <si>
    <t>"Woods Peak"</t>
  </si>
  <si>
    <t>Unnamed 13123 B</t>
  </si>
  <si>
    <t>Spiller Peak</t>
  </si>
  <si>
    <t>Peters Peak</t>
  </si>
  <si>
    <t>Unnamed 13122</t>
  </si>
  <si>
    <t>"Peak N"</t>
  </si>
  <si>
    <t>Unnamed 13121</t>
  </si>
  <si>
    <t>Isolation Peak</t>
  </si>
  <si>
    <t>"Cupid"</t>
  </si>
  <si>
    <t>Lizard Head</t>
  </si>
  <si>
    <t>Fitzpatrick Peak</t>
  </si>
  <si>
    <t>Unnamed 13111</t>
  </si>
  <si>
    <t>Cow Benchmark</t>
  </si>
  <si>
    <t>"Hancock Peak"</t>
  </si>
  <si>
    <t>Unnamed 13110</t>
  </si>
  <si>
    <t>Unnamed 13109</t>
  </si>
  <si>
    <t>Williams Mountain North</t>
  </si>
  <si>
    <t>Thunder Mountain A</t>
  </si>
  <si>
    <t>Unnamed 13106</t>
  </si>
  <si>
    <t>Bushnell Peak</t>
  </si>
  <si>
    <t>"Peak Twenty Two"</t>
  </si>
  <si>
    <t>Unnamed 13100 A</t>
  </si>
  <si>
    <t>Middle Mountain A</t>
  </si>
  <si>
    <t>Unnamed 13100 B</t>
  </si>
  <si>
    <t>"Baldy Lejos"</t>
  </si>
  <si>
    <t>"Corbett Peak"</t>
  </si>
  <si>
    <t>Unnamed 13100 C</t>
  </si>
  <si>
    <t>South Twilight Peak</t>
  </si>
  <si>
    <t>"Gore Thumb"</t>
  </si>
  <si>
    <t>"Peak H"</t>
  </si>
  <si>
    <t>"Leaning North Peak"</t>
  </si>
  <si>
    <t>"Peak C Prime"</t>
  </si>
  <si>
    <t>Mt. Kreutzer</t>
  </si>
  <si>
    <t>"Tomboy Peak"</t>
  </si>
  <si>
    <t>Unnamed 13093</t>
  </si>
  <si>
    <t>Unnamed 13091</t>
  </si>
  <si>
    <t>"Mt. Solitude"</t>
  </si>
  <si>
    <t>Unnamed 13090</t>
  </si>
  <si>
    <t>Paiute Peak</t>
  </si>
  <si>
    <t>Virginia Peak</t>
  </si>
  <si>
    <t>Spencer Peak</t>
  </si>
  <si>
    <t>Keller Mountain</t>
  </si>
  <si>
    <t>Unnamed 13085</t>
  </si>
  <si>
    <t>"Peak X"</t>
  </si>
  <si>
    <t>"Peak Twenty One"</t>
  </si>
  <si>
    <t>Boreas Mountain</t>
  </si>
  <si>
    <t>"Huerfanito"</t>
  </si>
  <si>
    <t>"North Traverse Peak"</t>
  </si>
  <si>
    <t>Whale Peak</t>
  </si>
  <si>
    <t>Unnamed 13078</t>
  </si>
  <si>
    <t>Snowdon Peak</t>
  </si>
  <si>
    <t>Winfield Peak</t>
  </si>
  <si>
    <t>Florida Mountain</t>
  </si>
  <si>
    <t>Unnamed 13075</t>
  </si>
  <si>
    <t>North Twilight Peak</t>
  </si>
  <si>
    <t>"West Tellurium"</t>
  </si>
  <si>
    <t>Mt. Garfield A</t>
  </si>
  <si>
    <t>Blackwall Mountain</t>
  </si>
  <si>
    <t>Hunts Peak</t>
  </si>
  <si>
    <t>Sheep Mountain D</t>
  </si>
  <si>
    <t>Unnamed 13070</t>
  </si>
  <si>
    <t>"Devils Playground Peak"</t>
  </si>
  <si>
    <t>Unnamed 13069</t>
  </si>
  <si>
    <t>Mt. Chiquita</t>
  </si>
  <si>
    <t>Kendall Benchmark</t>
  </si>
  <si>
    <t>Unnamed 13062 A</t>
  </si>
  <si>
    <t>Unnamed 13062 B</t>
  </si>
  <si>
    <t>West Needle Mountain</t>
  </si>
  <si>
    <t>Centennial Peak</t>
  </si>
  <si>
    <t>Unnamed 13060 A</t>
  </si>
  <si>
    <t>Unnamed 13060 B</t>
  </si>
  <si>
    <t>"Igloo Peak"</t>
  </si>
  <si>
    <t>Unnamed 13060 D</t>
  </si>
  <si>
    <t>Unnamed 13060 C</t>
  </si>
  <si>
    <t>Saint Sophia Ridge</t>
  </si>
  <si>
    <t>Silver Mesa</t>
  </si>
  <si>
    <t>Middle Mountain B</t>
  </si>
  <si>
    <t>"Palomino Point"</t>
  </si>
  <si>
    <t>Mt. Owen B</t>
  </si>
  <si>
    <t>"East Partner Peak"</t>
  </si>
  <si>
    <t>"Chalk Rock Mountain"</t>
  </si>
  <si>
    <t>Unnamed 13054</t>
  </si>
  <si>
    <t>Houghton Mountain</t>
  </si>
  <si>
    <t>Unnamed 13051</t>
  </si>
  <si>
    <t>Unnamed 13050</t>
  </si>
  <si>
    <t>"Dead Man Peak"</t>
  </si>
  <si>
    <t>Green Mountain A</t>
  </si>
  <si>
    <t>West Dyer Mountain</t>
  </si>
  <si>
    <t>"Peak D"</t>
  </si>
  <si>
    <t>"South Snowdon"</t>
  </si>
  <si>
    <t>Eagle Peak B</t>
  </si>
  <si>
    <t>Unnamed 13042</t>
  </si>
  <si>
    <t>"West Partner Peak"</t>
  </si>
  <si>
    <t>"Grand Traverse Peak"</t>
  </si>
  <si>
    <t>Wolcott Mountain</t>
  </si>
  <si>
    <t>Unnamed 13039</t>
  </si>
  <si>
    <t>"Old Baldy"</t>
  </si>
  <si>
    <t>United States Mountain</t>
  </si>
  <si>
    <t>West Elk Peak</t>
  </si>
  <si>
    <t>Unnamed 13034</t>
  </si>
  <si>
    <t>Williams Mountain South C</t>
  </si>
  <si>
    <t>Organ Mountain B</t>
  </si>
  <si>
    <t>Unnamed 13030</t>
  </si>
  <si>
    <t>Unnamed 13028</t>
  </si>
  <si>
    <t>Unnamed 13026</t>
  </si>
  <si>
    <t>"Snow Peak"</t>
  </si>
  <si>
    <t>Van Wirt Mountain</t>
  </si>
  <si>
    <t>Niwot Ridge</t>
  </si>
  <si>
    <t>"The Unicorn"</t>
  </si>
  <si>
    <t>Unnamed 13020 A</t>
  </si>
  <si>
    <t>"S 10"</t>
  </si>
  <si>
    <t>Unnamed 13020 B</t>
  </si>
  <si>
    <t>Unnamed 13020 C</t>
  </si>
  <si>
    <t>"North Irving"</t>
  </si>
  <si>
    <t>Unnamed 13020 D</t>
  </si>
  <si>
    <t>Cuba Benchmark</t>
  </si>
  <si>
    <t>Unnamed 13017</t>
  </si>
  <si>
    <t>Unnamed 13016</t>
  </si>
  <si>
    <t>Unnamed 13015</t>
  </si>
  <si>
    <t>Chief Mountain A</t>
  </si>
  <si>
    <t>Twin Sisters North</t>
  </si>
  <si>
    <t>Hope Mountain</t>
  </si>
  <si>
    <t>Unnamed 13010</t>
  </si>
  <si>
    <t>"Golden Bear Peak"</t>
  </si>
  <si>
    <t>Pennsylvania Mountain</t>
  </si>
  <si>
    <t>"Climber`s Point"</t>
  </si>
  <si>
    <t>Unnamed 13003</t>
  </si>
  <si>
    <t>Ruffner Mountain</t>
  </si>
  <si>
    <t>Unnamed 13001</t>
  </si>
  <si>
    <t>Alma</t>
  </si>
  <si>
    <t>Aspen</t>
  </si>
  <si>
    <t>Breckenridge</t>
  </si>
  <si>
    <t>Buena Vista</t>
  </si>
  <si>
    <t>Calhan</t>
  </si>
  <si>
    <t>Del Norte</t>
  </si>
  <si>
    <t>Evergreen</t>
  </si>
  <si>
    <t>Frisco</t>
  </si>
  <si>
    <t>Glenwood Springs</t>
  </si>
  <si>
    <t>Idaho Springs</t>
  </si>
  <si>
    <t>Jefferson</t>
  </si>
  <si>
    <t>Leadville</t>
  </si>
  <si>
    <t>Loveland Pass</t>
  </si>
  <si>
    <t>Montezuma</t>
  </si>
  <si>
    <t>Morrison</t>
  </si>
  <si>
    <t>Nathrop</t>
  </si>
  <si>
    <t>Nederland</t>
  </si>
  <si>
    <t>Red Cliff</t>
  </si>
  <si>
    <t>Silverthorne</t>
  </si>
  <si>
    <t>Steamboat</t>
  </si>
  <si>
    <t>Vail</t>
  </si>
  <si>
    <t>Winter Park</t>
  </si>
  <si>
    <t>CO</t>
  </si>
  <si>
    <t>CA</t>
  </si>
  <si>
    <t>WA</t>
  </si>
  <si>
    <t>OR</t>
  </si>
  <si>
    <t>Mt. St. Helens Conservatory</t>
  </si>
  <si>
    <t>Redmond</t>
  </si>
  <si>
    <t>Mariposa</t>
  </si>
  <si>
    <t>AllTrails</t>
  </si>
  <si>
    <t>Activity</t>
  </si>
  <si>
    <t>1517 Miner St</t>
  </si>
  <si>
    <t>722 Grand Ave</t>
  </si>
  <si>
    <t>70 E 1st St</t>
  </si>
  <si>
    <t>28215 CO-74</t>
  </si>
  <si>
    <t>activityName</t>
  </si>
  <si>
    <t>activityLatitude</t>
  </si>
  <si>
    <t>activityLongitude</t>
  </si>
  <si>
    <t>activityInTown</t>
  </si>
  <si>
    <t>Trail</t>
  </si>
  <si>
    <t>Pay $5 cash to park.</t>
  </si>
  <si>
    <t>Front Range</t>
  </si>
  <si>
    <t>Genesee Park</t>
  </si>
  <si>
    <t>North_Central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</si>
</sst>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m\-d"/>
  </numFmts>
  <fonts count="15">
    <font>
      <sz val="10"/>
      <color rgb="FF000000"/>
      <name val="Arial"/>
    </font>
    <font>
      <b/>
      <sz val="10"/>
      <name val="Arial"/>
    </font>
    <font>
      <sz val="10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sz val="10"/>
      <color rgb="FF000000"/>
      <name val="Roboto"/>
    </font>
    <font>
      <sz val="11"/>
      <color rgb="FF000000"/>
      <name val="Calibri"/>
    </font>
    <font>
      <sz val="11"/>
      <color rgb="FF000000"/>
      <name val="Arial"/>
    </font>
    <font>
      <b/>
      <sz val="14"/>
      <name val="Arial"/>
    </font>
    <font>
      <b/>
      <u/>
      <sz val="10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2" fillId="0" borderId="0" xfId="0" applyFont="1"/>
    <xf numFmtId="164" fontId="1" fillId="2" borderId="1" xfId="0" applyNumberFormat="1" applyFont="1" applyFill="1" applyBorder="1"/>
    <xf numFmtId="3" fontId="1" fillId="2" borderId="1" xfId="0" applyNumberFormat="1" applyFont="1" applyFill="1" applyBorder="1"/>
    <xf numFmtId="0" fontId="2" fillId="0" borderId="0" xfId="0" applyFont="1" applyAlignment="1">
      <alignment horizontal="left"/>
    </xf>
    <xf numFmtId="0" fontId="1" fillId="0" borderId="1" xfId="0" applyFont="1" applyBorder="1"/>
    <xf numFmtId="14" fontId="2" fillId="0" borderId="0" xfId="0" applyNumberFormat="1" applyFont="1"/>
    <xf numFmtId="10" fontId="2" fillId="0" borderId="0" xfId="0" applyNumberFormat="1" applyFont="1"/>
    <xf numFmtId="0" fontId="3" fillId="0" borderId="0" xfId="0" applyFont="1"/>
    <xf numFmtId="164" fontId="2" fillId="0" borderId="0" xfId="0" applyNumberFormat="1" applyFont="1"/>
    <xf numFmtId="3" fontId="2" fillId="0" borderId="0" xfId="0" applyNumberFormat="1" applyFont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0" fontId="2" fillId="3" borderId="0" xfId="0" applyFont="1" applyFill="1"/>
    <xf numFmtId="164" fontId="2" fillId="0" borderId="0" xfId="0" applyNumberFormat="1" applyFont="1" applyAlignment="1">
      <alignment horizontal="right"/>
    </xf>
    <xf numFmtId="165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5" fillId="4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3" fontId="6" fillId="0" borderId="0" xfId="0" applyNumberFormat="1" applyFont="1" applyAlignment="1">
      <alignment horizontal="right"/>
    </xf>
    <xf numFmtId="0" fontId="7" fillId="0" borderId="0" xfId="0" applyFont="1"/>
    <xf numFmtId="14" fontId="6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5" borderId="0" xfId="0" applyFont="1" applyFill="1"/>
    <xf numFmtId="0" fontId="12" fillId="0" borderId="0" xfId="1"/>
    <xf numFmtId="0" fontId="13" fillId="0" borderId="0" xfId="0" applyFont="1"/>
    <xf numFmtId="0" fontId="14" fillId="2" borderId="1" xfId="0" applyFont="1" applyFill="1" applyBorder="1"/>
    <xf numFmtId="0" fontId="14" fillId="2" borderId="0" xfId="0" applyFont="1" applyFill="1"/>
    <xf numFmtId="164" fontId="14" fillId="2" borderId="1" xfId="0" applyNumberFormat="1" applyFont="1" applyFill="1" applyBorder="1"/>
    <xf numFmtId="3" fontId="14" fillId="2" borderId="1" xfId="0" applyNumberFormat="1" applyFont="1" applyFill="1" applyBorder="1"/>
    <xf numFmtId="0" fontId="14" fillId="0" borderId="0" xfId="0" applyFont="1"/>
    <xf numFmtId="0" fontId="14" fillId="2" borderId="0" xfId="0" applyFont="1" applyFill="1" applyBorder="1"/>
    <xf numFmtId="0" fontId="0" fillId="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cpw.state.co.us/" TargetMode="External"/><Relationship Id="rId2" Type="http://schemas.openxmlformats.org/officeDocument/2006/relationships/hyperlink" Target="http://cpw.state.co.us/Documents/ParksBrochureWeb.pdf" TargetMode="External"/><Relationship Id="rId1" Type="http://schemas.openxmlformats.org/officeDocument/2006/relationships/hyperlink" Target="https://www.nps.gov/state/co/index.ht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ckymountainrescue.org/outdoor-safety/" TargetMode="External"/><Relationship Id="rId2" Type="http://schemas.openxmlformats.org/officeDocument/2006/relationships/hyperlink" Target="https://www.coloradosarboard.org/JoiningCSRB.shtml" TargetMode="External"/><Relationship Id="rId1" Type="http://schemas.openxmlformats.org/officeDocument/2006/relationships/hyperlink" Target="http://www.voc.org/leadership-training-calendar" TargetMode="External"/><Relationship Id="rId4" Type="http://schemas.openxmlformats.org/officeDocument/2006/relationships/hyperlink" Target="https://www.wlrv.net/index.php?section=events&amp;action=list&amp;type=trai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outlinePr summaryBelow="0" summaryRight="0"/>
  </sheetPr>
  <dimension ref="A1:Q1003"/>
  <sheetViews>
    <sheetView workbookViewId="0"/>
  </sheetViews>
  <sheetFormatPr defaultColWidth="14.44140625" defaultRowHeight="15.75" customHeight="1"/>
  <cols>
    <col min="1" max="1" width="6.44140625" customWidth="1"/>
    <col min="2" max="2" width="23" customWidth="1"/>
    <col min="3" max="3" width="13.44140625" customWidth="1"/>
    <col min="4" max="4" width="7.109375" customWidth="1"/>
    <col min="5" max="5" width="7.33203125" customWidth="1"/>
    <col min="6" max="6" width="6.5546875" customWidth="1"/>
    <col min="7" max="7" width="20.33203125" customWidth="1"/>
    <col min="8" max="8" width="12.33203125" customWidth="1"/>
    <col min="9" max="9" width="8.6640625" customWidth="1"/>
    <col min="10" max="10" width="7.6640625" customWidth="1"/>
    <col min="11" max="11" width="7.109375" customWidth="1"/>
    <col min="12" max="12" width="21.44140625" customWidth="1"/>
    <col min="13" max="13" width="9.88671875" customWidth="1"/>
    <col min="14" max="14" width="6.5546875" customWidth="1"/>
    <col min="15" max="15" width="6.33203125" customWidth="1"/>
    <col min="16" max="16" width="21.5546875" customWidth="1"/>
    <col min="17" max="17" width="9.88671875" customWidth="1"/>
    <col min="18" max="18" width="7.33203125" customWidth="1"/>
    <col min="19" max="19" width="8" customWidth="1"/>
  </cols>
  <sheetData>
    <row r="1" spans="1:17" ht="15.75" customHeight="1">
      <c r="A1" s="1"/>
      <c r="B1" s="1" t="s">
        <v>6</v>
      </c>
      <c r="C1" s="1"/>
      <c r="D1" s="1"/>
      <c r="F1" s="1"/>
      <c r="G1" s="1" t="s">
        <v>7</v>
      </c>
      <c r="I1" s="6"/>
      <c r="K1" s="1"/>
      <c r="L1" s="1" t="s">
        <v>18</v>
      </c>
      <c r="N1" s="3"/>
      <c r="O1" s="3"/>
      <c r="P1" s="1" t="s">
        <v>6</v>
      </c>
      <c r="Q1" t="str">
        <f t="shared" ref="Q1:Q8" si="0">"public DbSet&lt;"&amp;P1&amp;"&gt; "&amp;P1&amp;"s { get; set; }"</f>
        <v>public DbSet&lt;UserDemographic&gt; UserDemographics { get; set; }</v>
      </c>
    </row>
    <row r="2" spans="1:17" ht="15.75" customHeight="1">
      <c r="A2" s="3" t="str">
        <f t="shared" ref="A2:A3" si="1">"public "&amp;C2&amp;" "&amp;B2&amp;" { get; set; }"</f>
        <v>public string userId { get; set; }</v>
      </c>
      <c r="B2" s="3" t="s">
        <v>30</v>
      </c>
      <c r="C2" s="3" t="s">
        <v>31</v>
      </c>
      <c r="D2" s="3" t="s">
        <v>32</v>
      </c>
      <c r="F2" s="3" t="str">
        <f t="shared" ref="F2:F13" si="2">"public "&amp;H2&amp;" "&amp;G2&amp;" { get; set; }"</f>
        <v>public Guid activityId { get; set; }</v>
      </c>
      <c r="G2" s="3" t="s">
        <v>33</v>
      </c>
      <c r="H2" s="3" t="s">
        <v>34</v>
      </c>
      <c r="I2" s="6" t="s">
        <v>32</v>
      </c>
      <c r="K2" s="3" t="str">
        <f t="shared" ref="K2:K14" si="3">"public "&amp;M2&amp;" "&amp;L2&amp;" { get; set; }"</f>
        <v>public Guid trailId { get; set; }</v>
      </c>
      <c r="L2" s="3" t="s">
        <v>35</v>
      </c>
      <c r="M2" s="3" t="s">
        <v>34</v>
      </c>
      <c r="N2" s="3" t="s">
        <v>32</v>
      </c>
      <c r="O2" s="3"/>
      <c r="P2" s="1" t="s">
        <v>5</v>
      </c>
      <c r="Q2" t="str">
        <f t="shared" si="0"/>
        <v>public DbSet&lt;Location&gt; Locations { get; set; }</v>
      </c>
    </row>
    <row r="3" spans="1:17" ht="15.75" customHeight="1">
      <c r="A3" s="3" t="str">
        <f t="shared" si="1"/>
        <v>public Guid locationId { get; set; }</v>
      </c>
      <c r="B3" s="3" t="s">
        <v>37</v>
      </c>
      <c r="C3" s="3" t="s">
        <v>34</v>
      </c>
      <c r="D3" s="3" t="s">
        <v>38</v>
      </c>
      <c r="F3" s="3" t="str">
        <f t="shared" si="2"/>
        <v>public Guid locationId { get; set; }</v>
      </c>
      <c r="G3" s="3" t="s">
        <v>37</v>
      </c>
      <c r="H3" s="3" t="s">
        <v>34</v>
      </c>
      <c r="I3" s="6" t="s">
        <v>38</v>
      </c>
      <c r="K3" s="3" t="str">
        <f t="shared" si="3"/>
        <v>public Guid activityId { get; set; }</v>
      </c>
      <c r="L3" s="3" t="s">
        <v>33</v>
      </c>
      <c r="M3" s="3" t="s">
        <v>34</v>
      </c>
      <c r="N3" s="3" t="s">
        <v>38</v>
      </c>
      <c r="O3" s="3"/>
      <c r="P3" s="1" t="s">
        <v>39</v>
      </c>
      <c r="Q3" t="str">
        <f t="shared" si="0"/>
        <v>public DbSet&lt;ActivityComplete&gt; ActivityCompletes { get; set; }</v>
      </c>
    </row>
    <row r="4" spans="1:17" ht="15.75" customHeight="1">
      <c r="A4" s="3"/>
      <c r="D4" s="3"/>
      <c r="F4" s="3" t="str">
        <f t="shared" si="2"/>
        <v>public ActivityType activityType { get; set; }</v>
      </c>
      <c r="G4" s="3" t="s">
        <v>40</v>
      </c>
      <c r="H4" s="3" t="s">
        <v>41</v>
      </c>
      <c r="I4" s="6" t="s">
        <v>42</v>
      </c>
      <c r="K4" s="3" t="str">
        <f t="shared" si="3"/>
        <v>public Guid rangeId { get; set; }</v>
      </c>
      <c r="L4" s="3" t="s">
        <v>43</v>
      </c>
      <c r="M4" s="3" t="s">
        <v>34</v>
      </c>
      <c r="N4" s="3" t="s">
        <v>38</v>
      </c>
      <c r="O4" s="3"/>
      <c r="P4" s="1" t="s">
        <v>44</v>
      </c>
      <c r="Q4" t="str">
        <f t="shared" si="0"/>
        <v>public DbSet&lt;ActivityPhoto&gt; ActivityPhotos { get; set; }</v>
      </c>
    </row>
    <row r="5" spans="1:17" ht="15.75" customHeight="1">
      <c r="A5" s="3"/>
      <c r="D5" s="3"/>
      <c r="F5" s="3" t="str">
        <f t="shared" si="2"/>
        <v>public string activityOtherDesc { get; set; }</v>
      </c>
      <c r="G5" s="3" t="s">
        <v>45</v>
      </c>
      <c r="H5" s="3" t="s">
        <v>31</v>
      </c>
      <c r="I5" s="6"/>
      <c r="K5" s="3" t="str">
        <f t="shared" si="3"/>
        <v>public Guid landId { get; set; }</v>
      </c>
      <c r="L5" s="3" t="s">
        <v>46</v>
      </c>
      <c r="M5" s="3" t="s">
        <v>34</v>
      </c>
      <c r="N5" s="3" t="s">
        <v>38</v>
      </c>
      <c r="O5" s="3"/>
      <c r="P5" s="1" t="s">
        <v>47</v>
      </c>
      <c r="Q5" t="str">
        <f t="shared" si="0"/>
        <v>public DbSet&lt;ActivityWishList&gt; ActivityWishLists { get; set; }</v>
      </c>
    </row>
    <row r="6" spans="1:17" ht="15.75" customHeight="1">
      <c r="A6" s="3"/>
      <c r="D6" s="3"/>
      <c r="F6" s="3" t="str">
        <f t="shared" si="2"/>
        <v>public float driveHrsFromHome { get; set; }</v>
      </c>
      <c r="G6" s="3" t="s">
        <v>48</v>
      </c>
      <c r="H6" s="3" t="s">
        <v>49</v>
      </c>
      <c r="I6" s="6"/>
      <c r="K6" s="3" t="str">
        <f t="shared" si="3"/>
        <v>public float trailMiles { get; set; }</v>
      </c>
      <c r="L6" s="3" t="s">
        <v>50</v>
      </c>
      <c r="M6" s="3" t="s">
        <v>49</v>
      </c>
      <c r="N6" s="3"/>
      <c r="O6" s="3"/>
      <c r="P6" s="1" t="s">
        <v>18</v>
      </c>
      <c r="Q6" t="str">
        <f t="shared" si="0"/>
        <v>public DbSet&lt;TrailDetail&gt; TrailDetails { get; set; }</v>
      </c>
    </row>
    <row r="7" spans="1:17" ht="15.75" customHeight="1">
      <c r="A7" s="3"/>
      <c r="B7" s="3"/>
      <c r="C7" s="3"/>
      <c r="D7" s="3"/>
      <c r="F7" s="3" t="str">
        <f t="shared" si="2"/>
        <v>public string activityNotes { get; set; }</v>
      </c>
      <c r="G7" s="3" t="s">
        <v>51</v>
      </c>
      <c r="H7" s="3" t="s">
        <v>31</v>
      </c>
      <c r="I7" s="6"/>
      <c r="K7" s="3" t="str">
        <f t="shared" si="3"/>
        <v>public int trailElevationMax { get; set; }</v>
      </c>
      <c r="L7" s="3" t="s">
        <v>52</v>
      </c>
      <c r="M7" s="3" t="s">
        <v>53</v>
      </c>
      <c r="P7" s="1" t="s">
        <v>54</v>
      </c>
      <c r="Q7" t="str">
        <f t="shared" si="0"/>
        <v>public DbSet&lt;GovernedLand&gt; GovernedLands { get; set; }</v>
      </c>
    </row>
    <row r="8" spans="1:17" ht="15.75" customHeight="1">
      <c r="A8" s="3"/>
      <c r="B8" s="3"/>
      <c r="C8" s="3"/>
      <c r="D8" s="3"/>
      <c r="F8" s="3" t="str">
        <f t="shared" si="2"/>
        <v>public bool activityWinter { get; set; }</v>
      </c>
      <c r="G8" s="3" t="s">
        <v>55</v>
      </c>
      <c r="H8" s="3" t="s">
        <v>56</v>
      </c>
      <c r="I8" s="6"/>
      <c r="K8" s="3" t="str">
        <f t="shared" si="3"/>
        <v>public int trailElevationGain { get; set; }</v>
      </c>
      <c r="L8" s="3" t="s">
        <v>57</v>
      </c>
      <c r="M8" s="3" t="s">
        <v>53</v>
      </c>
      <c r="P8" s="1" t="s">
        <v>58</v>
      </c>
      <c r="Q8" t="str">
        <f t="shared" si="0"/>
        <v>public DbSet&lt;MountainRange&gt; MountainRanges { get; set; }</v>
      </c>
    </row>
    <row r="9" spans="1:17" ht="15.75" customHeight="1">
      <c r="A9" s="3"/>
      <c r="B9" s="1" t="s">
        <v>5</v>
      </c>
      <c r="C9" s="3"/>
      <c r="D9" s="3"/>
      <c r="F9" s="3" t="str">
        <f t="shared" si="2"/>
        <v>public bool activitySpring { get; set; }</v>
      </c>
      <c r="G9" s="3" t="s">
        <v>59</v>
      </c>
      <c r="H9" s="3" t="s">
        <v>56</v>
      </c>
      <c r="I9" s="6"/>
      <c r="K9" s="3" t="str">
        <f t="shared" si="3"/>
        <v>public string trailNotes { get; set; }</v>
      </c>
      <c r="L9" s="3" t="s">
        <v>60</v>
      </c>
      <c r="M9" s="3" t="s">
        <v>31</v>
      </c>
    </row>
    <row r="10" spans="1:17" ht="15.75" customHeight="1">
      <c r="A10" s="3" t="str">
        <f t="shared" ref="A10:A17" si="4">"public "&amp;C10&amp;" "&amp;B10&amp;" { get; set; }"</f>
        <v>public Guid locationId { get; set; }</v>
      </c>
      <c r="B10" s="3" t="s">
        <v>37</v>
      </c>
      <c r="C10" s="3" t="s">
        <v>34</v>
      </c>
      <c r="D10" s="3" t="s">
        <v>32</v>
      </c>
      <c r="F10" s="3" t="str">
        <f t="shared" si="2"/>
        <v>public bool activitySummer { get; set; }</v>
      </c>
      <c r="G10" s="3" t="s">
        <v>68</v>
      </c>
      <c r="H10" s="3" t="s">
        <v>56</v>
      </c>
      <c r="I10" s="6"/>
      <c r="K10" s="3" t="str">
        <f t="shared" si="3"/>
        <v>public bool isHikeTrail { get; set; }</v>
      </c>
      <c r="L10" s="3" t="s">
        <v>72</v>
      </c>
      <c r="M10" s="3" t="s">
        <v>56</v>
      </c>
    </row>
    <row r="11" spans="1:17" ht="15.75" customHeight="1">
      <c r="A11" s="3" t="str">
        <f t="shared" si="4"/>
        <v>public LocationType locationType { get; set; }</v>
      </c>
      <c r="B11" s="3" t="s">
        <v>74</v>
      </c>
      <c r="C11" s="3" t="s">
        <v>75</v>
      </c>
      <c r="D11" s="3" t="s">
        <v>42</v>
      </c>
      <c r="F11" s="3" t="str">
        <f t="shared" si="2"/>
        <v>public bool activityFall { get; set; }</v>
      </c>
      <c r="G11" s="3" t="s">
        <v>76</v>
      </c>
      <c r="H11" s="3" t="s">
        <v>56</v>
      </c>
      <c r="I11" s="6"/>
      <c r="K11" s="3" t="str">
        <f t="shared" si="3"/>
        <v>public bool isBackpackTrail { get; set; }</v>
      </c>
      <c r="L11" s="3" t="s">
        <v>77</v>
      </c>
      <c r="M11" s="3" t="s">
        <v>56</v>
      </c>
    </row>
    <row r="12" spans="1:17" ht="15.75" customHeight="1">
      <c r="A12" s="3" t="str">
        <f t="shared" si="4"/>
        <v>public string locationStreetAddress { get; set; }</v>
      </c>
      <c r="B12" s="3" t="s">
        <v>78</v>
      </c>
      <c r="C12" s="3" t="s">
        <v>31</v>
      </c>
      <c r="D12" s="3"/>
      <c r="F12" s="3" t="str">
        <f t="shared" si="2"/>
        <v>public string activitySiteName { get; set; }</v>
      </c>
      <c r="G12" s="3" t="s">
        <v>79</v>
      </c>
      <c r="H12" s="3" t="s">
        <v>31</v>
      </c>
      <c r="I12" s="6"/>
      <c r="K12" s="3" t="str">
        <f t="shared" si="3"/>
        <v>public bool isBikeTrail { get; set; }</v>
      </c>
      <c r="L12" s="3" t="s">
        <v>80</v>
      </c>
      <c r="M12" s="3" t="s">
        <v>56</v>
      </c>
    </row>
    <row r="13" spans="1:17" ht="15.75" customHeight="1">
      <c r="A13" s="3" t="str">
        <f t="shared" si="4"/>
        <v>public string locationCity { get; set; }</v>
      </c>
      <c r="B13" s="3" t="s">
        <v>81</v>
      </c>
      <c r="C13" s="3" t="s">
        <v>31</v>
      </c>
      <c r="D13" s="3"/>
      <c r="F13" s="3" t="str">
        <f t="shared" si="2"/>
        <v>public string activitySiteURL { get; set; }</v>
      </c>
      <c r="G13" s="3" t="s">
        <v>84</v>
      </c>
      <c r="H13" s="3" t="s">
        <v>31</v>
      </c>
      <c r="I13" s="6"/>
      <c r="K13" s="3" t="str">
        <f t="shared" si="3"/>
        <v>public bool isSkiTrail { get; set; }</v>
      </c>
      <c r="L13" s="3" t="s">
        <v>85</v>
      </c>
      <c r="M13" s="3" t="s">
        <v>56</v>
      </c>
    </row>
    <row r="14" spans="1:17" ht="15.75" customHeight="1">
      <c r="A14" s="3" t="str">
        <f t="shared" si="4"/>
        <v>public State locationState { get; set; }</v>
      </c>
      <c r="B14" s="3" t="s">
        <v>87</v>
      </c>
      <c r="C14" s="3" t="s">
        <v>88</v>
      </c>
      <c r="D14" s="3" t="s">
        <v>42</v>
      </c>
      <c r="I14" s="6"/>
      <c r="K14" s="3" t="str">
        <f t="shared" si="3"/>
        <v>public bool isVisitorTrail { get; set; }</v>
      </c>
      <c r="L14" s="3" t="s">
        <v>89</v>
      </c>
      <c r="M14" s="3" t="s">
        <v>56</v>
      </c>
    </row>
    <row r="15" spans="1:17" ht="15.75" customHeight="1">
      <c r="A15" s="3" t="str">
        <f t="shared" si="4"/>
        <v>public string locationZip { get; set; }</v>
      </c>
      <c r="B15" s="3" t="s">
        <v>90</v>
      </c>
      <c r="C15" s="3" t="s">
        <v>31</v>
      </c>
      <c r="D15" s="3"/>
      <c r="G15" s="1" t="s">
        <v>39</v>
      </c>
      <c r="I15" s="6"/>
    </row>
    <row r="16" spans="1:17" ht="15.75" customHeight="1">
      <c r="A16" s="3" t="str">
        <f t="shared" si="4"/>
        <v>public double locationLatitude { get; set; }</v>
      </c>
      <c r="B16" s="3" t="s">
        <v>91</v>
      </c>
      <c r="C16" s="3" t="s">
        <v>92</v>
      </c>
      <c r="F16" s="3" t="str">
        <f t="shared" ref="F16:F23" si="5">"public "&amp;H16&amp;" "&amp;G16&amp;" { get; set; }"</f>
        <v>public Guid completeId { get; set; }</v>
      </c>
      <c r="G16" s="3" t="s">
        <v>106</v>
      </c>
      <c r="H16" s="3" t="s">
        <v>34</v>
      </c>
      <c r="I16" s="6" t="s">
        <v>32</v>
      </c>
      <c r="P16" s="1"/>
    </row>
    <row r="17" spans="1:15" ht="15.75" customHeight="1">
      <c r="A17" s="3" t="str">
        <f t="shared" si="4"/>
        <v>public double locationLongitude { get; set; }</v>
      </c>
      <c r="B17" s="3" t="s">
        <v>109</v>
      </c>
      <c r="C17" s="3" t="s">
        <v>92</v>
      </c>
      <c r="D17" s="1"/>
      <c r="F17" s="3" t="str">
        <f t="shared" si="5"/>
        <v>public Guid activityId { get; set; }</v>
      </c>
      <c r="G17" s="3" t="s">
        <v>33</v>
      </c>
      <c r="H17" s="3" t="s">
        <v>34</v>
      </c>
      <c r="I17" s="6" t="s">
        <v>38</v>
      </c>
      <c r="L17" s="1" t="s">
        <v>54</v>
      </c>
      <c r="M17" s="1"/>
    </row>
    <row r="18" spans="1:15" ht="15.75" customHeight="1">
      <c r="A18" s="3"/>
      <c r="B18" s="3"/>
      <c r="C18" s="3"/>
      <c r="D18" s="3"/>
      <c r="F18" s="3" t="str">
        <f t="shared" si="5"/>
        <v>public DateTime dateCompleted { get; set; }</v>
      </c>
      <c r="G18" s="3" t="s">
        <v>110</v>
      </c>
      <c r="H18" s="3" t="s">
        <v>111</v>
      </c>
      <c r="I18" s="6"/>
      <c r="K18" s="3" t="str">
        <f t="shared" ref="K18:K22" si="6">"public "&amp;M18&amp;" "&amp;L18&amp;" { get; set; }"</f>
        <v>public Guid landId { get; set; }</v>
      </c>
      <c r="L18" s="3" t="s">
        <v>46</v>
      </c>
      <c r="M18" s="3" t="s">
        <v>34</v>
      </c>
      <c r="N18" s="3" t="s">
        <v>32</v>
      </c>
      <c r="O18" s="1"/>
    </row>
    <row r="19" spans="1:15" ht="15.75" customHeight="1">
      <c r="A19" s="3"/>
      <c r="B19" s="3"/>
      <c r="C19" s="3"/>
      <c r="D19" s="3"/>
      <c r="F19" s="3" t="str">
        <f t="shared" si="5"/>
        <v>public float hrsToComplete { get; set; }</v>
      </c>
      <c r="G19" s="3" t="s">
        <v>128</v>
      </c>
      <c r="H19" s="3" t="s">
        <v>49</v>
      </c>
      <c r="I19" s="6"/>
      <c r="K19" s="3" t="str">
        <f t="shared" si="6"/>
        <v>public bool isNationalPark { get; set; }</v>
      </c>
      <c r="L19" s="3" t="s">
        <v>129</v>
      </c>
      <c r="M19" s="3" t="s">
        <v>56</v>
      </c>
      <c r="O19" s="3"/>
    </row>
    <row r="20" spans="1:15" ht="15.75" customHeight="1">
      <c r="A20" s="3"/>
      <c r="B20" s="3"/>
      <c r="C20" s="3"/>
      <c r="D20" s="3"/>
      <c r="F20" s="3" t="str">
        <f t="shared" si="5"/>
        <v>public int myDifficultyScore { get; set; }</v>
      </c>
      <c r="G20" s="3" t="s">
        <v>130</v>
      </c>
      <c r="H20" s="3" t="s">
        <v>53</v>
      </c>
      <c r="I20" s="18">
        <v>43470</v>
      </c>
      <c r="K20" s="3" t="str">
        <f t="shared" si="6"/>
        <v>public bool isStatePark { get; set; }</v>
      </c>
      <c r="L20" s="3" t="s">
        <v>134</v>
      </c>
      <c r="M20" s="3" t="s">
        <v>56</v>
      </c>
    </row>
    <row r="21" spans="1:15" ht="15.75" customHeight="1">
      <c r="A21" s="3"/>
      <c r="B21" s="3"/>
      <c r="C21" s="3"/>
      <c r="D21" s="3"/>
      <c r="F21" s="3" t="str">
        <f t="shared" si="5"/>
        <v>public int myActivityScore { get; set; }</v>
      </c>
      <c r="G21" s="3" t="s">
        <v>136</v>
      </c>
      <c r="H21" s="3" t="s">
        <v>53</v>
      </c>
      <c r="I21" s="18">
        <v>43470</v>
      </c>
      <c r="K21" s="3" t="str">
        <f t="shared" si="6"/>
        <v>public bool isNationalForest { get; set; }</v>
      </c>
      <c r="L21" s="3" t="s">
        <v>137</v>
      </c>
      <c r="M21" s="3" t="s">
        <v>56</v>
      </c>
    </row>
    <row r="22" spans="1:15" ht="15.75" customHeight="1">
      <c r="A22" s="3"/>
      <c r="B22" s="3"/>
      <c r="C22" s="3"/>
      <c r="D22" s="3"/>
      <c r="F22" s="3" t="str">
        <f t="shared" si="5"/>
        <v>public bool isFavorite { get; set; }</v>
      </c>
      <c r="G22" s="3" t="s">
        <v>138</v>
      </c>
      <c r="H22" s="3" t="s">
        <v>56</v>
      </c>
      <c r="K22" s="3" t="str">
        <f t="shared" si="6"/>
        <v>public string landName { get; set; }</v>
      </c>
      <c r="L22" s="3" t="s">
        <v>139</v>
      </c>
      <c r="M22" s="3" t="s">
        <v>31</v>
      </c>
    </row>
    <row r="23" spans="1:15" ht="15.75" customHeight="1">
      <c r="F23" s="3" t="str">
        <f t="shared" si="5"/>
        <v>public string myActivityNotes { get; set; }</v>
      </c>
      <c r="G23" s="3" t="s">
        <v>140</v>
      </c>
      <c r="H23" s="3" t="s">
        <v>31</v>
      </c>
      <c r="I23" s="6"/>
      <c r="K23" s="1"/>
    </row>
    <row r="24" spans="1:15" ht="15.75" customHeight="1">
      <c r="A24" s="1"/>
      <c r="B24" s="1"/>
      <c r="C24" s="1"/>
      <c r="D24" s="1"/>
      <c r="I24" s="6"/>
    </row>
    <row r="25" spans="1:15" ht="15.75" customHeight="1">
      <c r="A25" s="3"/>
      <c r="B25" s="3"/>
      <c r="C25" s="3"/>
      <c r="D25" s="3"/>
      <c r="G25" s="1" t="s">
        <v>44</v>
      </c>
      <c r="I25" s="6"/>
      <c r="L25" s="1" t="s">
        <v>58</v>
      </c>
    </row>
    <row r="26" spans="1:15" ht="15.75" customHeight="1">
      <c r="A26" s="3"/>
      <c r="B26" s="3"/>
      <c r="C26" s="3"/>
      <c r="D26" s="3"/>
      <c r="F26" s="3" t="str">
        <f t="shared" ref="F26:F28" si="7">"public "&amp;H26&amp;" "&amp;G26&amp;" { get; set; }"</f>
        <v>public Guid photoId { get; set; }</v>
      </c>
      <c r="G26" s="3" t="s">
        <v>151</v>
      </c>
      <c r="H26" s="3" t="s">
        <v>34</v>
      </c>
      <c r="I26" s="6" t="s">
        <v>32</v>
      </c>
      <c r="K26" s="3" t="str">
        <f t="shared" ref="K26:K29" si="8">"public "&amp;M26&amp;" "&amp;L26&amp;" { get; set; }"</f>
        <v>public Guid rangeId { get; set; }</v>
      </c>
      <c r="L26" s="3" t="s">
        <v>43</v>
      </c>
      <c r="M26" s="3" t="s">
        <v>34</v>
      </c>
    </row>
    <row r="27" spans="1:15" ht="15.75" customHeight="1">
      <c r="A27" s="3"/>
      <c r="B27" s="3"/>
      <c r="C27" s="3"/>
      <c r="D27" s="3"/>
      <c r="F27" s="3" t="str">
        <f t="shared" si="7"/>
        <v>public Guid completeId { get; set; }</v>
      </c>
      <c r="G27" s="3" t="s">
        <v>106</v>
      </c>
      <c r="H27" s="3" t="s">
        <v>34</v>
      </c>
      <c r="I27" s="6" t="s">
        <v>38</v>
      </c>
      <c r="K27" s="3" t="str">
        <f t="shared" si="8"/>
        <v>public string rangeName { get; set; }</v>
      </c>
      <c r="L27" s="3" t="s">
        <v>159</v>
      </c>
      <c r="M27" s="3" t="s">
        <v>31</v>
      </c>
    </row>
    <row r="28" spans="1:15" ht="15.75" customHeight="1">
      <c r="F28" s="3" t="str">
        <f t="shared" si="7"/>
        <v>public string myActivityPhoto { get; set; }</v>
      </c>
      <c r="G28" s="3" t="s">
        <v>160</v>
      </c>
      <c r="H28" s="3" t="s">
        <v>31</v>
      </c>
      <c r="I28" s="6" t="s">
        <v>161</v>
      </c>
      <c r="K28" s="3" t="str">
        <f t="shared" si="8"/>
        <v>public StateTerritory rangeTerritory { get; set; }</v>
      </c>
      <c r="L28" s="3" t="s">
        <v>162</v>
      </c>
      <c r="M28" s="3" t="s">
        <v>163</v>
      </c>
      <c r="N28" s="3" t="s">
        <v>42</v>
      </c>
    </row>
    <row r="29" spans="1:15" ht="15.75" customHeight="1">
      <c r="A29" s="1"/>
      <c r="B29" s="1"/>
      <c r="C29" s="1"/>
      <c r="D29" s="1"/>
      <c r="I29" s="6"/>
      <c r="K29" s="3" t="str">
        <f t="shared" si="8"/>
        <v>public int rangeSqMiles { get; set; }</v>
      </c>
      <c r="L29" s="3" t="s">
        <v>165</v>
      </c>
      <c r="M29" s="3" t="s">
        <v>53</v>
      </c>
    </row>
    <row r="30" spans="1:15" ht="13.2">
      <c r="A30" s="3"/>
      <c r="B30" s="3"/>
      <c r="C30" s="3"/>
      <c r="D30" s="3"/>
      <c r="G30" s="1" t="s">
        <v>47</v>
      </c>
      <c r="I30" s="6"/>
    </row>
    <row r="31" spans="1:15" ht="13.2">
      <c r="A31" s="3"/>
      <c r="B31" s="3"/>
      <c r="C31" s="3"/>
      <c r="D31" s="3"/>
      <c r="F31" s="3" t="str">
        <f t="shared" ref="F31:F33" si="9">"public "&amp;H31&amp;" "&amp;G31&amp;" { get; set; }"</f>
        <v>public Guid activityId { get; set; }</v>
      </c>
      <c r="G31" s="3" t="s">
        <v>33</v>
      </c>
      <c r="H31" s="3" t="s">
        <v>34</v>
      </c>
      <c r="I31" s="6" t="s">
        <v>38</v>
      </c>
    </row>
    <row r="32" spans="1:15" ht="13.2">
      <c r="A32" s="3"/>
      <c r="B32" s="3"/>
      <c r="C32" s="3"/>
      <c r="D32" s="3"/>
      <c r="F32" s="3" t="str">
        <f t="shared" si="9"/>
        <v>public int myInterestScore { get; set; }</v>
      </c>
      <c r="G32" s="3" t="s">
        <v>171</v>
      </c>
      <c r="H32" s="3" t="s">
        <v>53</v>
      </c>
      <c r="I32" s="18">
        <v>43470</v>
      </c>
    </row>
    <row r="33" spans="6:9" ht="13.2">
      <c r="F33" s="3" t="str">
        <f t="shared" si="9"/>
        <v>public string myInterestNotes { get; set; }</v>
      </c>
      <c r="G33" s="3" t="s">
        <v>172</v>
      </c>
      <c r="H33" s="3" t="s">
        <v>31</v>
      </c>
      <c r="I33" s="6"/>
    </row>
    <row r="34" spans="6:9" ht="13.2">
      <c r="I34" s="6"/>
    </row>
    <row r="35" spans="6:9" ht="13.2">
      <c r="I35" s="6"/>
    </row>
    <row r="36" spans="6:9" ht="13.2">
      <c r="I36" s="6"/>
    </row>
    <row r="37" spans="6:9" ht="13.2">
      <c r="I37" s="6"/>
    </row>
    <row r="38" spans="6:9" ht="13.2">
      <c r="I38" s="6"/>
    </row>
    <row r="39" spans="6:9" ht="13.2">
      <c r="I39" s="6"/>
    </row>
    <row r="40" spans="6:9" ht="13.2">
      <c r="I40" s="6"/>
    </row>
    <row r="41" spans="6:9" ht="13.2">
      <c r="I41" s="6"/>
    </row>
    <row r="42" spans="6:9" ht="13.2">
      <c r="I42" s="6"/>
    </row>
    <row r="43" spans="6:9" ht="13.2">
      <c r="I43" s="6"/>
    </row>
    <row r="44" spans="6:9" ht="13.2">
      <c r="I44" s="6"/>
    </row>
    <row r="45" spans="6:9" ht="13.2">
      <c r="I45" s="6"/>
    </row>
    <row r="46" spans="6:9" ht="13.2">
      <c r="I46" s="6"/>
    </row>
    <row r="47" spans="6:9" ht="13.2">
      <c r="I47" s="6"/>
    </row>
    <row r="48" spans="6:9" ht="13.2">
      <c r="I48" s="6"/>
    </row>
    <row r="49" spans="9:9" ht="13.2">
      <c r="I49" s="6"/>
    </row>
    <row r="50" spans="9:9" ht="13.2">
      <c r="I50" s="6"/>
    </row>
    <row r="51" spans="9:9" ht="13.2">
      <c r="I51" s="6"/>
    </row>
    <row r="52" spans="9:9" ht="13.2">
      <c r="I52" s="6"/>
    </row>
    <row r="53" spans="9:9" ht="13.2">
      <c r="I53" s="6"/>
    </row>
    <row r="54" spans="9:9" ht="13.2">
      <c r="I54" s="6"/>
    </row>
    <row r="55" spans="9:9" ht="13.2">
      <c r="I55" s="6"/>
    </row>
    <row r="56" spans="9:9" ht="13.2">
      <c r="I56" s="6"/>
    </row>
    <row r="57" spans="9:9" ht="13.2">
      <c r="I57" s="6"/>
    </row>
    <row r="58" spans="9:9" ht="13.2">
      <c r="I58" s="6"/>
    </row>
    <row r="59" spans="9:9" ht="13.2">
      <c r="I59" s="6"/>
    </row>
    <row r="60" spans="9:9" ht="13.2">
      <c r="I60" s="6"/>
    </row>
    <row r="61" spans="9:9" ht="13.2">
      <c r="I61" s="6"/>
    </row>
    <row r="62" spans="9:9" ht="13.2">
      <c r="I62" s="6"/>
    </row>
    <row r="63" spans="9:9" ht="13.2">
      <c r="I63" s="6"/>
    </row>
    <row r="64" spans="9:9" ht="13.2">
      <c r="I64" s="6"/>
    </row>
    <row r="65" spans="9:9" ht="13.2">
      <c r="I65" s="6"/>
    </row>
    <row r="66" spans="9:9" ht="13.2">
      <c r="I66" s="6"/>
    </row>
    <row r="67" spans="9:9" ht="13.2">
      <c r="I67" s="6"/>
    </row>
    <row r="68" spans="9:9" ht="13.2">
      <c r="I68" s="6"/>
    </row>
    <row r="69" spans="9:9" ht="13.2">
      <c r="I69" s="6"/>
    </row>
    <row r="70" spans="9:9" ht="13.2">
      <c r="I70" s="6"/>
    </row>
    <row r="71" spans="9:9" ht="13.2">
      <c r="I71" s="6"/>
    </row>
    <row r="72" spans="9:9" ht="13.2">
      <c r="I72" s="6"/>
    </row>
    <row r="73" spans="9:9" ht="13.2">
      <c r="I73" s="6"/>
    </row>
    <row r="74" spans="9:9" ht="13.2">
      <c r="I74" s="6"/>
    </row>
    <row r="75" spans="9:9" ht="13.2">
      <c r="I75" s="6"/>
    </row>
    <row r="76" spans="9:9" ht="13.2">
      <c r="I76" s="6"/>
    </row>
    <row r="77" spans="9:9" ht="13.2">
      <c r="I77" s="6"/>
    </row>
    <row r="78" spans="9:9" ht="13.2">
      <c r="I78" s="6"/>
    </row>
    <row r="79" spans="9:9" ht="13.2">
      <c r="I79" s="6"/>
    </row>
    <row r="80" spans="9:9" ht="13.2">
      <c r="I80" s="6"/>
    </row>
    <row r="81" spans="9:9" ht="13.2">
      <c r="I81" s="6"/>
    </row>
    <row r="82" spans="9:9" ht="13.2">
      <c r="I82" s="6"/>
    </row>
    <row r="83" spans="9:9" ht="13.2">
      <c r="I83" s="6"/>
    </row>
    <row r="84" spans="9:9" ht="13.2">
      <c r="I84" s="6"/>
    </row>
    <row r="85" spans="9:9" ht="13.2">
      <c r="I85" s="6"/>
    </row>
    <row r="86" spans="9:9" ht="13.2">
      <c r="I86" s="6"/>
    </row>
    <row r="87" spans="9:9" ht="13.2">
      <c r="I87" s="6"/>
    </row>
    <row r="88" spans="9:9" ht="13.2">
      <c r="I88" s="6"/>
    </row>
    <row r="89" spans="9:9" ht="13.2">
      <c r="I89" s="6"/>
    </row>
    <row r="90" spans="9:9" ht="13.2">
      <c r="I90" s="6"/>
    </row>
    <row r="91" spans="9:9" ht="13.2">
      <c r="I91" s="6"/>
    </row>
    <row r="92" spans="9:9" ht="13.2">
      <c r="I92" s="6"/>
    </row>
    <row r="93" spans="9:9" ht="13.2">
      <c r="I93" s="6"/>
    </row>
    <row r="94" spans="9:9" ht="13.2">
      <c r="I94" s="6"/>
    </row>
    <row r="95" spans="9:9" ht="13.2">
      <c r="I95" s="6"/>
    </row>
    <row r="96" spans="9:9" ht="13.2">
      <c r="I96" s="6"/>
    </row>
    <row r="97" spans="9:9" ht="13.2">
      <c r="I97" s="6"/>
    </row>
    <row r="98" spans="9:9" ht="13.2">
      <c r="I98" s="6"/>
    </row>
    <row r="99" spans="9:9" ht="13.2">
      <c r="I99" s="6"/>
    </row>
    <row r="100" spans="9:9" ht="13.2">
      <c r="I100" s="6"/>
    </row>
    <row r="101" spans="9:9" ht="13.2">
      <c r="I101" s="6"/>
    </row>
    <row r="102" spans="9:9" ht="13.2">
      <c r="I102" s="6"/>
    </row>
    <row r="103" spans="9:9" ht="13.2">
      <c r="I103" s="6"/>
    </row>
    <row r="104" spans="9:9" ht="13.2">
      <c r="I104" s="6"/>
    </row>
    <row r="105" spans="9:9" ht="13.2">
      <c r="I105" s="6"/>
    </row>
    <row r="106" spans="9:9" ht="13.2">
      <c r="I106" s="6"/>
    </row>
    <row r="107" spans="9:9" ht="13.2">
      <c r="I107" s="6"/>
    </row>
    <row r="108" spans="9:9" ht="13.2">
      <c r="I108" s="6"/>
    </row>
    <row r="109" spans="9:9" ht="13.2">
      <c r="I109" s="6"/>
    </row>
    <row r="110" spans="9:9" ht="13.2">
      <c r="I110" s="6"/>
    </row>
    <row r="111" spans="9:9" ht="13.2">
      <c r="I111" s="6"/>
    </row>
    <row r="112" spans="9:9" ht="13.2">
      <c r="I112" s="6"/>
    </row>
    <row r="113" spans="9:9" ht="13.2">
      <c r="I113" s="6"/>
    </row>
    <row r="114" spans="9:9" ht="13.2">
      <c r="I114" s="6"/>
    </row>
    <row r="115" spans="9:9" ht="13.2">
      <c r="I115" s="6"/>
    </row>
    <row r="116" spans="9:9" ht="13.2">
      <c r="I116" s="6"/>
    </row>
    <row r="117" spans="9:9" ht="13.2">
      <c r="I117" s="6"/>
    </row>
    <row r="118" spans="9:9" ht="13.2">
      <c r="I118" s="6"/>
    </row>
    <row r="119" spans="9:9" ht="13.2">
      <c r="I119" s="6"/>
    </row>
    <row r="120" spans="9:9" ht="13.2">
      <c r="I120" s="6"/>
    </row>
    <row r="121" spans="9:9" ht="13.2">
      <c r="I121" s="6"/>
    </row>
    <row r="122" spans="9:9" ht="13.2">
      <c r="I122" s="6"/>
    </row>
    <row r="123" spans="9:9" ht="13.2">
      <c r="I123" s="6"/>
    </row>
    <row r="124" spans="9:9" ht="13.2">
      <c r="I124" s="6"/>
    </row>
    <row r="125" spans="9:9" ht="13.2">
      <c r="I125" s="6"/>
    </row>
    <row r="126" spans="9:9" ht="13.2">
      <c r="I126" s="6"/>
    </row>
    <row r="127" spans="9:9" ht="13.2">
      <c r="I127" s="6"/>
    </row>
    <row r="128" spans="9:9" ht="13.2">
      <c r="I128" s="6"/>
    </row>
    <row r="129" spans="9:9" ht="13.2">
      <c r="I129" s="6"/>
    </row>
    <row r="130" spans="9:9" ht="13.2">
      <c r="I130" s="6"/>
    </row>
    <row r="131" spans="9:9" ht="13.2">
      <c r="I131" s="6"/>
    </row>
    <row r="132" spans="9:9" ht="13.2">
      <c r="I132" s="6"/>
    </row>
    <row r="133" spans="9:9" ht="13.2">
      <c r="I133" s="6"/>
    </row>
    <row r="134" spans="9:9" ht="13.2">
      <c r="I134" s="6"/>
    </row>
    <row r="135" spans="9:9" ht="13.2">
      <c r="I135" s="6"/>
    </row>
    <row r="136" spans="9:9" ht="13.2">
      <c r="I136" s="6"/>
    </row>
    <row r="137" spans="9:9" ht="13.2">
      <c r="I137" s="6"/>
    </row>
    <row r="138" spans="9:9" ht="13.2">
      <c r="I138" s="6"/>
    </row>
    <row r="139" spans="9:9" ht="13.2">
      <c r="I139" s="6"/>
    </row>
    <row r="140" spans="9:9" ht="13.2">
      <c r="I140" s="6"/>
    </row>
    <row r="141" spans="9:9" ht="13.2">
      <c r="I141" s="6"/>
    </row>
    <row r="142" spans="9:9" ht="13.2">
      <c r="I142" s="6"/>
    </row>
    <row r="143" spans="9:9" ht="13.2">
      <c r="I143" s="6"/>
    </row>
    <row r="144" spans="9:9" ht="13.2">
      <c r="I144" s="6"/>
    </row>
    <row r="145" spans="9:9" ht="13.2">
      <c r="I145" s="6"/>
    </row>
    <row r="146" spans="9:9" ht="13.2">
      <c r="I146" s="6"/>
    </row>
    <row r="147" spans="9:9" ht="13.2">
      <c r="I147" s="6"/>
    </row>
    <row r="148" spans="9:9" ht="13.2">
      <c r="I148" s="6"/>
    </row>
    <row r="149" spans="9:9" ht="13.2">
      <c r="I149" s="6"/>
    </row>
    <row r="150" spans="9:9" ht="13.2">
      <c r="I150" s="6"/>
    </row>
    <row r="151" spans="9:9" ht="13.2">
      <c r="I151" s="6"/>
    </row>
    <row r="152" spans="9:9" ht="13.2">
      <c r="I152" s="6"/>
    </row>
    <row r="153" spans="9:9" ht="13.2">
      <c r="I153" s="6"/>
    </row>
    <row r="154" spans="9:9" ht="13.2">
      <c r="I154" s="6"/>
    </row>
    <row r="155" spans="9:9" ht="13.2">
      <c r="I155" s="6"/>
    </row>
    <row r="156" spans="9:9" ht="13.2">
      <c r="I156" s="6"/>
    </row>
    <row r="157" spans="9:9" ht="13.2">
      <c r="I157" s="6"/>
    </row>
    <row r="158" spans="9:9" ht="13.2">
      <c r="I158" s="6"/>
    </row>
    <row r="159" spans="9:9" ht="13.2">
      <c r="I159" s="6"/>
    </row>
    <row r="160" spans="9:9" ht="13.2">
      <c r="I160" s="6"/>
    </row>
    <row r="161" spans="9:9" ht="13.2">
      <c r="I161" s="6"/>
    </row>
    <row r="162" spans="9:9" ht="13.2">
      <c r="I162" s="6"/>
    </row>
    <row r="163" spans="9:9" ht="13.2">
      <c r="I163" s="6"/>
    </row>
    <row r="164" spans="9:9" ht="13.2">
      <c r="I164" s="6"/>
    </row>
    <row r="165" spans="9:9" ht="13.2">
      <c r="I165" s="6"/>
    </row>
    <row r="166" spans="9:9" ht="13.2">
      <c r="I166" s="6"/>
    </row>
    <row r="167" spans="9:9" ht="13.2">
      <c r="I167" s="6"/>
    </row>
    <row r="168" spans="9:9" ht="13.2">
      <c r="I168" s="6"/>
    </row>
    <row r="169" spans="9:9" ht="13.2">
      <c r="I169" s="6"/>
    </row>
    <row r="170" spans="9:9" ht="13.2">
      <c r="I170" s="6"/>
    </row>
    <row r="171" spans="9:9" ht="13.2">
      <c r="I171" s="6"/>
    </row>
    <row r="172" spans="9:9" ht="13.2">
      <c r="I172" s="6"/>
    </row>
    <row r="173" spans="9:9" ht="13.2">
      <c r="I173" s="6"/>
    </row>
    <row r="174" spans="9:9" ht="13.2">
      <c r="I174" s="6"/>
    </row>
    <row r="175" spans="9:9" ht="13.2">
      <c r="I175" s="6"/>
    </row>
    <row r="176" spans="9:9" ht="13.2">
      <c r="I176" s="6"/>
    </row>
    <row r="177" spans="9:9" ht="13.2">
      <c r="I177" s="6"/>
    </row>
    <row r="178" spans="9:9" ht="13.2">
      <c r="I178" s="6"/>
    </row>
    <row r="179" spans="9:9" ht="13.2">
      <c r="I179" s="6"/>
    </row>
    <row r="180" spans="9:9" ht="13.2">
      <c r="I180" s="6"/>
    </row>
    <row r="181" spans="9:9" ht="13.2">
      <c r="I181" s="6"/>
    </row>
    <row r="182" spans="9:9" ht="13.2">
      <c r="I182" s="6"/>
    </row>
    <row r="183" spans="9:9" ht="13.2">
      <c r="I183" s="6"/>
    </row>
    <row r="184" spans="9:9" ht="13.2">
      <c r="I184" s="6"/>
    </row>
    <row r="185" spans="9:9" ht="13.2">
      <c r="I185" s="6"/>
    </row>
    <row r="186" spans="9:9" ht="13.2">
      <c r="I186" s="6"/>
    </row>
    <row r="187" spans="9:9" ht="13.2">
      <c r="I187" s="6"/>
    </row>
    <row r="188" spans="9:9" ht="13.2">
      <c r="I188" s="6"/>
    </row>
    <row r="189" spans="9:9" ht="13.2">
      <c r="I189" s="6"/>
    </row>
    <row r="190" spans="9:9" ht="13.2">
      <c r="I190" s="6"/>
    </row>
    <row r="191" spans="9:9" ht="13.2">
      <c r="I191" s="6"/>
    </row>
    <row r="192" spans="9:9" ht="13.2">
      <c r="I192" s="6"/>
    </row>
    <row r="193" spans="9:9" ht="13.2">
      <c r="I193" s="6"/>
    </row>
    <row r="194" spans="9:9" ht="13.2">
      <c r="I194" s="6"/>
    </row>
    <row r="195" spans="9:9" ht="13.2">
      <c r="I195" s="6"/>
    </row>
    <row r="196" spans="9:9" ht="13.2">
      <c r="I196" s="6"/>
    </row>
    <row r="197" spans="9:9" ht="13.2">
      <c r="I197" s="6"/>
    </row>
    <row r="198" spans="9:9" ht="13.2">
      <c r="I198" s="6"/>
    </row>
    <row r="199" spans="9:9" ht="13.2">
      <c r="I199" s="6"/>
    </row>
    <row r="200" spans="9:9" ht="13.2">
      <c r="I200" s="6"/>
    </row>
    <row r="201" spans="9:9" ht="13.2">
      <c r="I201" s="6"/>
    </row>
    <row r="202" spans="9:9" ht="13.2">
      <c r="I202" s="6"/>
    </row>
    <row r="203" spans="9:9" ht="13.2">
      <c r="I203" s="6"/>
    </row>
    <row r="204" spans="9:9" ht="13.2">
      <c r="I204" s="6"/>
    </row>
    <row r="205" spans="9:9" ht="13.2">
      <c r="I205" s="6"/>
    </row>
    <row r="206" spans="9:9" ht="13.2">
      <c r="I206" s="6"/>
    </row>
    <row r="207" spans="9:9" ht="13.2">
      <c r="I207" s="6"/>
    </row>
    <row r="208" spans="9:9" ht="13.2">
      <c r="I208" s="6"/>
    </row>
    <row r="209" spans="9:9" ht="13.2">
      <c r="I209" s="6"/>
    </row>
    <row r="210" spans="9:9" ht="13.2">
      <c r="I210" s="6"/>
    </row>
    <row r="211" spans="9:9" ht="13.2">
      <c r="I211" s="6"/>
    </row>
    <row r="212" spans="9:9" ht="13.2">
      <c r="I212" s="6"/>
    </row>
    <row r="213" spans="9:9" ht="13.2">
      <c r="I213" s="6"/>
    </row>
    <row r="214" spans="9:9" ht="13.2">
      <c r="I214" s="6"/>
    </row>
    <row r="215" spans="9:9" ht="13.2">
      <c r="I215" s="6"/>
    </row>
    <row r="216" spans="9:9" ht="13.2">
      <c r="I216" s="6"/>
    </row>
    <row r="217" spans="9:9" ht="13.2">
      <c r="I217" s="6"/>
    </row>
    <row r="218" spans="9:9" ht="13.2">
      <c r="I218" s="6"/>
    </row>
    <row r="219" spans="9:9" ht="13.2">
      <c r="I219" s="6"/>
    </row>
    <row r="220" spans="9:9" ht="13.2">
      <c r="I220" s="6"/>
    </row>
    <row r="221" spans="9:9" ht="13.2">
      <c r="I221" s="6"/>
    </row>
    <row r="222" spans="9:9" ht="13.2">
      <c r="I222" s="6"/>
    </row>
    <row r="223" spans="9:9" ht="13.2">
      <c r="I223" s="6"/>
    </row>
    <row r="224" spans="9:9" ht="13.2">
      <c r="I224" s="6"/>
    </row>
    <row r="225" spans="9:9" ht="13.2">
      <c r="I225" s="6"/>
    </row>
    <row r="226" spans="9:9" ht="13.2">
      <c r="I226" s="6"/>
    </row>
    <row r="227" spans="9:9" ht="13.2">
      <c r="I227" s="6"/>
    </row>
    <row r="228" spans="9:9" ht="13.2">
      <c r="I228" s="6"/>
    </row>
    <row r="229" spans="9:9" ht="13.2">
      <c r="I229" s="6"/>
    </row>
    <row r="230" spans="9:9" ht="13.2">
      <c r="I230" s="6"/>
    </row>
    <row r="231" spans="9:9" ht="13.2">
      <c r="I231" s="6"/>
    </row>
    <row r="232" spans="9:9" ht="13.2">
      <c r="I232" s="6"/>
    </row>
    <row r="233" spans="9:9" ht="13.2">
      <c r="I233" s="6"/>
    </row>
    <row r="234" spans="9:9" ht="13.2">
      <c r="I234" s="6"/>
    </row>
    <row r="235" spans="9:9" ht="13.2">
      <c r="I235" s="6"/>
    </row>
    <row r="236" spans="9:9" ht="13.2">
      <c r="I236" s="6"/>
    </row>
    <row r="237" spans="9:9" ht="13.2">
      <c r="I237" s="6"/>
    </row>
    <row r="238" spans="9:9" ht="13.2">
      <c r="I238" s="6"/>
    </row>
    <row r="239" spans="9:9" ht="13.2">
      <c r="I239" s="6"/>
    </row>
    <row r="240" spans="9:9" ht="13.2">
      <c r="I240" s="6"/>
    </row>
    <row r="241" spans="9:9" ht="13.2">
      <c r="I241" s="6"/>
    </row>
    <row r="242" spans="9:9" ht="13.2">
      <c r="I242" s="6"/>
    </row>
    <row r="243" spans="9:9" ht="13.2">
      <c r="I243" s="6"/>
    </row>
    <row r="244" spans="9:9" ht="13.2">
      <c r="I244" s="6"/>
    </row>
    <row r="245" spans="9:9" ht="13.2">
      <c r="I245" s="6"/>
    </row>
    <row r="246" spans="9:9" ht="13.2">
      <c r="I246" s="6"/>
    </row>
    <row r="247" spans="9:9" ht="13.2">
      <c r="I247" s="6"/>
    </row>
    <row r="248" spans="9:9" ht="13.2">
      <c r="I248" s="6"/>
    </row>
    <row r="249" spans="9:9" ht="13.2">
      <c r="I249" s="6"/>
    </row>
    <row r="250" spans="9:9" ht="13.2">
      <c r="I250" s="6"/>
    </row>
    <row r="251" spans="9:9" ht="13.2">
      <c r="I251" s="6"/>
    </row>
    <row r="252" spans="9:9" ht="13.2">
      <c r="I252" s="6"/>
    </row>
    <row r="253" spans="9:9" ht="13.2">
      <c r="I253" s="6"/>
    </row>
    <row r="254" spans="9:9" ht="13.2">
      <c r="I254" s="6"/>
    </row>
    <row r="255" spans="9:9" ht="13.2">
      <c r="I255" s="6"/>
    </row>
    <row r="256" spans="9:9" ht="13.2">
      <c r="I256" s="6"/>
    </row>
    <row r="257" spans="9:9" ht="13.2">
      <c r="I257" s="6"/>
    </row>
    <row r="258" spans="9:9" ht="13.2">
      <c r="I258" s="6"/>
    </row>
    <row r="259" spans="9:9" ht="13.2">
      <c r="I259" s="6"/>
    </row>
    <row r="260" spans="9:9" ht="13.2">
      <c r="I260" s="6"/>
    </row>
    <row r="261" spans="9:9" ht="13.2">
      <c r="I261" s="6"/>
    </row>
    <row r="262" spans="9:9" ht="13.2">
      <c r="I262" s="6"/>
    </row>
    <row r="263" spans="9:9" ht="13.2">
      <c r="I263" s="6"/>
    </row>
    <row r="264" spans="9:9" ht="13.2">
      <c r="I264" s="6"/>
    </row>
    <row r="265" spans="9:9" ht="13.2">
      <c r="I265" s="6"/>
    </row>
    <row r="266" spans="9:9" ht="13.2">
      <c r="I266" s="6"/>
    </row>
    <row r="267" spans="9:9" ht="13.2">
      <c r="I267" s="6"/>
    </row>
    <row r="268" spans="9:9" ht="13.2">
      <c r="I268" s="6"/>
    </row>
    <row r="269" spans="9:9" ht="13.2">
      <c r="I269" s="6"/>
    </row>
    <row r="270" spans="9:9" ht="13.2">
      <c r="I270" s="6"/>
    </row>
    <row r="271" spans="9:9" ht="13.2">
      <c r="I271" s="6"/>
    </row>
    <row r="272" spans="9:9" ht="13.2">
      <c r="I272" s="6"/>
    </row>
    <row r="273" spans="9:9" ht="13.2">
      <c r="I273" s="6"/>
    </row>
    <row r="274" spans="9:9" ht="13.2">
      <c r="I274" s="6"/>
    </row>
    <row r="275" spans="9:9" ht="13.2">
      <c r="I275" s="6"/>
    </row>
    <row r="276" spans="9:9" ht="13.2">
      <c r="I276" s="6"/>
    </row>
    <row r="277" spans="9:9" ht="13.2">
      <c r="I277" s="6"/>
    </row>
    <row r="278" spans="9:9" ht="13.2">
      <c r="I278" s="6"/>
    </row>
    <row r="279" spans="9:9" ht="13.2">
      <c r="I279" s="6"/>
    </row>
    <row r="280" spans="9:9" ht="13.2">
      <c r="I280" s="6"/>
    </row>
    <row r="281" spans="9:9" ht="13.2">
      <c r="I281" s="6"/>
    </row>
    <row r="282" spans="9:9" ht="13.2">
      <c r="I282" s="6"/>
    </row>
    <row r="283" spans="9:9" ht="13.2">
      <c r="I283" s="6"/>
    </row>
    <row r="284" spans="9:9" ht="13.2">
      <c r="I284" s="6"/>
    </row>
    <row r="285" spans="9:9" ht="13.2">
      <c r="I285" s="6"/>
    </row>
    <row r="286" spans="9:9" ht="13.2">
      <c r="I286" s="6"/>
    </row>
    <row r="287" spans="9:9" ht="13.2">
      <c r="I287" s="6"/>
    </row>
    <row r="288" spans="9:9" ht="13.2">
      <c r="I288" s="6"/>
    </row>
    <row r="289" spans="9:9" ht="13.2">
      <c r="I289" s="6"/>
    </row>
    <row r="290" spans="9:9" ht="13.2">
      <c r="I290" s="6"/>
    </row>
    <row r="291" spans="9:9" ht="13.2">
      <c r="I291" s="6"/>
    </row>
    <row r="292" spans="9:9" ht="13.2">
      <c r="I292" s="6"/>
    </row>
    <row r="293" spans="9:9" ht="13.2">
      <c r="I293" s="6"/>
    </row>
    <row r="294" spans="9:9" ht="13.2">
      <c r="I294" s="6"/>
    </row>
    <row r="295" spans="9:9" ht="13.2">
      <c r="I295" s="6"/>
    </row>
    <row r="296" spans="9:9" ht="13.2">
      <c r="I296" s="6"/>
    </row>
    <row r="297" spans="9:9" ht="13.2">
      <c r="I297" s="6"/>
    </row>
    <row r="298" spans="9:9" ht="13.2">
      <c r="I298" s="6"/>
    </row>
    <row r="299" spans="9:9" ht="13.2">
      <c r="I299" s="6"/>
    </row>
    <row r="300" spans="9:9" ht="13.2">
      <c r="I300" s="6"/>
    </row>
    <row r="301" spans="9:9" ht="13.2">
      <c r="I301" s="6"/>
    </row>
    <row r="302" spans="9:9" ht="13.2">
      <c r="I302" s="6"/>
    </row>
    <row r="303" spans="9:9" ht="13.2">
      <c r="I303" s="6"/>
    </row>
    <row r="304" spans="9:9" ht="13.2">
      <c r="I304" s="6"/>
    </row>
    <row r="305" spans="9:9" ht="13.2">
      <c r="I305" s="6"/>
    </row>
    <row r="306" spans="9:9" ht="13.2">
      <c r="I306" s="6"/>
    </row>
    <row r="307" spans="9:9" ht="13.2">
      <c r="I307" s="6"/>
    </row>
    <row r="308" spans="9:9" ht="13.2">
      <c r="I308" s="6"/>
    </row>
    <row r="309" spans="9:9" ht="13.2">
      <c r="I309" s="6"/>
    </row>
    <row r="310" spans="9:9" ht="13.2">
      <c r="I310" s="6"/>
    </row>
    <row r="311" spans="9:9" ht="13.2">
      <c r="I311" s="6"/>
    </row>
    <row r="312" spans="9:9" ht="13.2">
      <c r="I312" s="6"/>
    </row>
    <row r="313" spans="9:9" ht="13.2">
      <c r="I313" s="6"/>
    </row>
    <row r="314" spans="9:9" ht="13.2">
      <c r="I314" s="6"/>
    </row>
    <row r="315" spans="9:9" ht="13.2">
      <c r="I315" s="6"/>
    </row>
    <row r="316" spans="9:9" ht="13.2">
      <c r="I316" s="6"/>
    </row>
    <row r="317" spans="9:9" ht="13.2">
      <c r="I317" s="6"/>
    </row>
    <row r="318" spans="9:9" ht="13.2">
      <c r="I318" s="6"/>
    </row>
    <row r="319" spans="9:9" ht="13.2">
      <c r="I319" s="6"/>
    </row>
    <row r="320" spans="9:9" ht="13.2">
      <c r="I320" s="6"/>
    </row>
    <row r="321" spans="9:9" ht="13.2">
      <c r="I321" s="6"/>
    </row>
    <row r="322" spans="9:9" ht="13.2">
      <c r="I322" s="6"/>
    </row>
    <row r="323" spans="9:9" ht="13.2">
      <c r="I323" s="6"/>
    </row>
    <row r="324" spans="9:9" ht="13.2">
      <c r="I324" s="6"/>
    </row>
    <row r="325" spans="9:9" ht="13.2">
      <c r="I325" s="6"/>
    </row>
    <row r="326" spans="9:9" ht="13.2">
      <c r="I326" s="6"/>
    </row>
    <row r="327" spans="9:9" ht="13.2">
      <c r="I327" s="6"/>
    </row>
    <row r="328" spans="9:9" ht="13.2">
      <c r="I328" s="6"/>
    </row>
    <row r="329" spans="9:9" ht="13.2">
      <c r="I329" s="6"/>
    </row>
    <row r="330" spans="9:9" ht="13.2">
      <c r="I330" s="6"/>
    </row>
    <row r="331" spans="9:9" ht="13.2">
      <c r="I331" s="6"/>
    </row>
    <row r="332" spans="9:9" ht="13.2">
      <c r="I332" s="6"/>
    </row>
    <row r="333" spans="9:9" ht="13.2">
      <c r="I333" s="6"/>
    </row>
    <row r="334" spans="9:9" ht="13.2">
      <c r="I334" s="6"/>
    </row>
    <row r="335" spans="9:9" ht="13.2">
      <c r="I335" s="6"/>
    </row>
    <row r="336" spans="9:9" ht="13.2">
      <c r="I336" s="6"/>
    </row>
    <row r="337" spans="9:9" ht="13.2">
      <c r="I337" s="6"/>
    </row>
    <row r="338" spans="9:9" ht="13.2">
      <c r="I338" s="6"/>
    </row>
    <row r="339" spans="9:9" ht="13.2">
      <c r="I339" s="6"/>
    </row>
    <row r="340" spans="9:9" ht="13.2">
      <c r="I340" s="6"/>
    </row>
    <row r="341" spans="9:9" ht="13.2">
      <c r="I341" s="6"/>
    </row>
    <row r="342" spans="9:9" ht="13.2">
      <c r="I342" s="6"/>
    </row>
    <row r="343" spans="9:9" ht="13.2">
      <c r="I343" s="6"/>
    </row>
    <row r="344" spans="9:9" ht="13.2">
      <c r="I344" s="6"/>
    </row>
    <row r="345" spans="9:9" ht="13.2">
      <c r="I345" s="6"/>
    </row>
    <row r="346" spans="9:9" ht="13.2">
      <c r="I346" s="6"/>
    </row>
    <row r="347" spans="9:9" ht="13.2">
      <c r="I347" s="6"/>
    </row>
    <row r="348" spans="9:9" ht="13.2">
      <c r="I348" s="6"/>
    </row>
    <row r="349" spans="9:9" ht="13.2">
      <c r="I349" s="6"/>
    </row>
    <row r="350" spans="9:9" ht="13.2">
      <c r="I350" s="6"/>
    </row>
    <row r="351" spans="9:9" ht="13.2">
      <c r="I351" s="6"/>
    </row>
    <row r="352" spans="9:9" ht="13.2">
      <c r="I352" s="6"/>
    </row>
    <row r="353" spans="9:9" ht="13.2">
      <c r="I353" s="6"/>
    </row>
    <row r="354" spans="9:9" ht="13.2">
      <c r="I354" s="6"/>
    </row>
    <row r="355" spans="9:9" ht="13.2">
      <c r="I355" s="6"/>
    </row>
    <row r="356" spans="9:9" ht="13.2">
      <c r="I356" s="6"/>
    </row>
    <row r="357" spans="9:9" ht="13.2">
      <c r="I357" s="6"/>
    </row>
    <row r="358" spans="9:9" ht="13.2">
      <c r="I358" s="6"/>
    </row>
    <row r="359" spans="9:9" ht="13.2">
      <c r="I359" s="6"/>
    </row>
    <row r="360" spans="9:9" ht="13.2">
      <c r="I360" s="6"/>
    </row>
    <row r="361" spans="9:9" ht="13.2">
      <c r="I361" s="6"/>
    </row>
    <row r="362" spans="9:9" ht="13.2">
      <c r="I362" s="6"/>
    </row>
    <row r="363" spans="9:9" ht="13.2">
      <c r="I363" s="6"/>
    </row>
    <row r="364" spans="9:9" ht="13.2">
      <c r="I364" s="6"/>
    </row>
    <row r="365" spans="9:9" ht="13.2">
      <c r="I365" s="6"/>
    </row>
    <row r="366" spans="9:9" ht="13.2">
      <c r="I366" s="6"/>
    </row>
    <row r="367" spans="9:9" ht="13.2">
      <c r="I367" s="6"/>
    </row>
    <row r="368" spans="9:9" ht="13.2">
      <c r="I368" s="6"/>
    </row>
    <row r="369" spans="9:9" ht="13.2">
      <c r="I369" s="6"/>
    </row>
    <row r="370" spans="9:9" ht="13.2">
      <c r="I370" s="6"/>
    </row>
    <row r="371" spans="9:9" ht="13.2">
      <c r="I371" s="6"/>
    </row>
    <row r="372" spans="9:9" ht="13.2">
      <c r="I372" s="6"/>
    </row>
    <row r="373" spans="9:9" ht="13.2">
      <c r="I373" s="6"/>
    </row>
    <row r="374" spans="9:9" ht="13.2">
      <c r="I374" s="6"/>
    </row>
    <row r="375" spans="9:9" ht="13.2">
      <c r="I375" s="6"/>
    </row>
    <row r="376" spans="9:9" ht="13.2">
      <c r="I376" s="6"/>
    </row>
    <row r="377" spans="9:9" ht="13.2">
      <c r="I377" s="6"/>
    </row>
    <row r="378" spans="9:9" ht="13.2">
      <c r="I378" s="6"/>
    </row>
    <row r="379" spans="9:9" ht="13.2">
      <c r="I379" s="6"/>
    </row>
    <row r="380" spans="9:9" ht="13.2">
      <c r="I380" s="6"/>
    </row>
    <row r="381" spans="9:9" ht="13.2">
      <c r="I381" s="6"/>
    </row>
    <row r="382" spans="9:9" ht="13.2">
      <c r="I382" s="6"/>
    </row>
    <row r="383" spans="9:9" ht="13.2">
      <c r="I383" s="6"/>
    </row>
    <row r="384" spans="9:9" ht="13.2">
      <c r="I384" s="6"/>
    </row>
    <row r="385" spans="9:9" ht="13.2">
      <c r="I385" s="6"/>
    </row>
    <row r="386" spans="9:9" ht="13.2">
      <c r="I386" s="6"/>
    </row>
    <row r="387" spans="9:9" ht="13.2">
      <c r="I387" s="6"/>
    </row>
    <row r="388" spans="9:9" ht="13.2">
      <c r="I388" s="6"/>
    </row>
    <row r="389" spans="9:9" ht="13.2">
      <c r="I389" s="6"/>
    </row>
    <row r="390" spans="9:9" ht="13.2">
      <c r="I390" s="6"/>
    </row>
    <row r="391" spans="9:9" ht="13.2">
      <c r="I391" s="6"/>
    </row>
    <row r="392" spans="9:9" ht="13.2">
      <c r="I392" s="6"/>
    </row>
    <row r="393" spans="9:9" ht="13.2">
      <c r="I393" s="6"/>
    </row>
    <row r="394" spans="9:9" ht="13.2">
      <c r="I394" s="6"/>
    </row>
    <row r="395" spans="9:9" ht="13.2">
      <c r="I395" s="6"/>
    </row>
    <row r="396" spans="9:9" ht="13.2">
      <c r="I396" s="6"/>
    </row>
    <row r="397" spans="9:9" ht="13.2">
      <c r="I397" s="6"/>
    </row>
    <row r="398" spans="9:9" ht="13.2">
      <c r="I398" s="6"/>
    </row>
    <row r="399" spans="9:9" ht="13.2">
      <c r="I399" s="6"/>
    </row>
    <row r="400" spans="9:9" ht="13.2">
      <c r="I400" s="6"/>
    </row>
    <row r="401" spans="9:9" ht="13.2">
      <c r="I401" s="6"/>
    </row>
    <row r="402" spans="9:9" ht="13.2">
      <c r="I402" s="6"/>
    </row>
    <row r="403" spans="9:9" ht="13.2">
      <c r="I403" s="6"/>
    </row>
    <row r="404" spans="9:9" ht="13.2">
      <c r="I404" s="6"/>
    </row>
    <row r="405" spans="9:9" ht="13.2">
      <c r="I405" s="6"/>
    </row>
    <row r="406" spans="9:9" ht="13.2">
      <c r="I406" s="6"/>
    </row>
    <row r="407" spans="9:9" ht="13.2">
      <c r="I407" s="6"/>
    </row>
    <row r="408" spans="9:9" ht="13.2">
      <c r="I408" s="6"/>
    </row>
    <row r="409" spans="9:9" ht="13.2">
      <c r="I409" s="6"/>
    </row>
    <row r="410" spans="9:9" ht="13.2">
      <c r="I410" s="6"/>
    </row>
    <row r="411" spans="9:9" ht="13.2">
      <c r="I411" s="6"/>
    </row>
    <row r="412" spans="9:9" ht="13.2">
      <c r="I412" s="6"/>
    </row>
    <row r="413" spans="9:9" ht="13.2">
      <c r="I413" s="6"/>
    </row>
    <row r="414" spans="9:9" ht="13.2">
      <c r="I414" s="6"/>
    </row>
    <row r="415" spans="9:9" ht="13.2">
      <c r="I415" s="6"/>
    </row>
    <row r="416" spans="9:9" ht="13.2">
      <c r="I416" s="6"/>
    </row>
    <row r="417" spans="9:9" ht="13.2">
      <c r="I417" s="6"/>
    </row>
    <row r="418" spans="9:9" ht="13.2">
      <c r="I418" s="6"/>
    </row>
    <row r="419" spans="9:9" ht="13.2">
      <c r="I419" s="6"/>
    </row>
    <row r="420" spans="9:9" ht="13.2">
      <c r="I420" s="6"/>
    </row>
    <row r="421" spans="9:9" ht="13.2">
      <c r="I421" s="6"/>
    </row>
    <row r="422" spans="9:9" ht="13.2">
      <c r="I422" s="6"/>
    </row>
    <row r="423" spans="9:9" ht="13.2">
      <c r="I423" s="6"/>
    </row>
    <row r="424" spans="9:9" ht="13.2">
      <c r="I424" s="6"/>
    </row>
    <row r="425" spans="9:9" ht="13.2">
      <c r="I425" s="6"/>
    </row>
    <row r="426" spans="9:9" ht="13.2">
      <c r="I426" s="6"/>
    </row>
    <row r="427" spans="9:9" ht="13.2">
      <c r="I427" s="6"/>
    </row>
    <row r="428" spans="9:9" ht="13.2">
      <c r="I428" s="6"/>
    </row>
    <row r="429" spans="9:9" ht="13.2">
      <c r="I429" s="6"/>
    </row>
    <row r="430" spans="9:9" ht="13.2">
      <c r="I430" s="6"/>
    </row>
    <row r="431" spans="9:9" ht="13.2">
      <c r="I431" s="6"/>
    </row>
    <row r="432" spans="9:9" ht="13.2">
      <c r="I432" s="6"/>
    </row>
    <row r="433" spans="9:9" ht="13.2">
      <c r="I433" s="6"/>
    </row>
    <row r="434" spans="9:9" ht="13.2">
      <c r="I434" s="6"/>
    </row>
    <row r="435" spans="9:9" ht="13.2">
      <c r="I435" s="6"/>
    </row>
    <row r="436" spans="9:9" ht="13.2">
      <c r="I436" s="6"/>
    </row>
    <row r="437" spans="9:9" ht="13.2">
      <c r="I437" s="6"/>
    </row>
    <row r="438" spans="9:9" ht="13.2">
      <c r="I438" s="6"/>
    </row>
    <row r="439" spans="9:9" ht="13.2">
      <c r="I439" s="6"/>
    </row>
    <row r="440" spans="9:9" ht="13.2">
      <c r="I440" s="6"/>
    </row>
    <row r="441" spans="9:9" ht="13.2">
      <c r="I441" s="6"/>
    </row>
    <row r="442" spans="9:9" ht="13.2">
      <c r="I442" s="6"/>
    </row>
    <row r="443" spans="9:9" ht="13.2">
      <c r="I443" s="6"/>
    </row>
    <row r="444" spans="9:9" ht="13.2">
      <c r="I444" s="6"/>
    </row>
    <row r="445" spans="9:9" ht="13.2">
      <c r="I445" s="6"/>
    </row>
    <row r="446" spans="9:9" ht="13.2">
      <c r="I446" s="6"/>
    </row>
    <row r="447" spans="9:9" ht="13.2">
      <c r="I447" s="6"/>
    </row>
    <row r="448" spans="9:9" ht="13.2">
      <c r="I448" s="6"/>
    </row>
    <row r="449" spans="9:9" ht="13.2">
      <c r="I449" s="6"/>
    </row>
    <row r="450" spans="9:9" ht="13.2">
      <c r="I450" s="6"/>
    </row>
    <row r="451" spans="9:9" ht="13.2">
      <c r="I451" s="6"/>
    </row>
    <row r="452" spans="9:9" ht="13.2">
      <c r="I452" s="6"/>
    </row>
    <row r="453" spans="9:9" ht="13.2">
      <c r="I453" s="6"/>
    </row>
    <row r="454" spans="9:9" ht="13.2">
      <c r="I454" s="6"/>
    </row>
    <row r="455" spans="9:9" ht="13.2">
      <c r="I455" s="6"/>
    </row>
    <row r="456" spans="9:9" ht="13.2">
      <c r="I456" s="6"/>
    </row>
    <row r="457" spans="9:9" ht="13.2">
      <c r="I457" s="6"/>
    </row>
    <row r="458" spans="9:9" ht="13.2">
      <c r="I458" s="6"/>
    </row>
    <row r="459" spans="9:9" ht="13.2">
      <c r="I459" s="6"/>
    </row>
    <row r="460" spans="9:9" ht="13.2">
      <c r="I460" s="6"/>
    </row>
    <row r="461" spans="9:9" ht="13.2">
      <c r="I461" s="6"/>
    </row>
    <row r="462" spans="9:9" ht="13.2">
      <c r="I462" s="6"/>
    </row>
    <row r="463" spans="9:9" ht="13.2">
      <c r="I463" s="6"/>
    </row>
    <row r="464" spans="9:9" ht="13.2">
      <c r="I464" s="6"/>
    </row>
    <row r="465" spans="9:9" ht="13.2">
      <c r="I465" s="6"/>
    </row>
    <row r="466" spans="9:9" ht="13.2">
      <c r="I466" s="6"/>
    </row>
    <row r="467" spans="9:9" ht="13.2">
      <c r="I467" s="6"/>
    </row>
    <row r="468" spans="9:9" ht="13.2">
      <c r="I468" s="6"/>
    </row>
    <row r="469" spans="9:9" ht="13.2">
      <c r="I469" s="6"/>
    </row>
    <row r="470" spans="9:9" ht="13.2">
      <c r="I470" s="6"/>
    </row>
    <row r="471" spans="9:9" ht="13.2">
      <c r="I471" s="6"/>
    </row>
    <row r="472" spans="9:9" ht="13.2">
      <c r="I472" s="6"/>
    </row>
    <row r="473" spans="9:9" ht="13.2">
      <c r="I473" s="6"/>
    </row>
    <row r="474" spans="9:9" ht="13.2">
      <c r="I474" s="6"/>
    </row>
    <row r="475" spans="9:9" ht="13.2">
      <c r="I475" s="6"/>
    </row>
    <row r="476" spans="9:9" ht="13.2">
      <c r="I476" s="6"/>
    </row>
    <row r="477" spans="9:9" ht="13.2">
      <c r="I477" s="6"/>
    </row>
    <row r="478" spans="9:9" ht="13.2">
      <c r="I478" s="6"/>
    </row>
    <row r="479" spans="9:9" ht="13.2">
      <c r="I479" s="6"/>
    </row>
    <row r="480" spans="9:9" ht="13.2">
      <c r="I480" s="6"/>
    </row>
    <row r="481" spans="9:9" ht="13.2">
      <c r="I481" s="6"/>
    </row>
    <row r="482" spans="9:9" ht="13.2">
      <c r="I482" s="6"/>
    </row>
    <row r="483" spans="9:9" ht="13.2">
      <c r="I483" s="6"/>
    </row>
    <row r="484" spans="9:9" ht="13.2">
      <c r="I484" s="6"/>
    </row>
    <row r="485" spans="9:9" ht="13.2">
      <c r="I485" s="6"/>
    </row>
    <row r="486" spans="9:9" ht="13.2">
      <c r="I486" s="6"/>
    </row>
    <row r="487" spans="9:9" ht="13.2">
      <c r="I487" s="6"/>
    </row>
    <row r="488" spans="9:9" ht="13.2">
      <c r="I488" s="6"/>
    </row>
    <row r="489" spans="9:9" ht="13.2">
      <c r="I489" s="6"/>
    </row>
    <row r="490" spans="9:9" ht="13.2">
      <c r="I490" s="6"/>
    </row>
    <row r="491" spans="9:9" ht="13.2">
      <c r="I491" s="6"/>
    </row>
    <row r="492" spans="9:9" ht="13.2">
      <c r="I492" s="6"/>
    </row>
    <row r="493" spans="9:9" ht="13.2">
      <c r="I493" s="6"/>
    </row>
    <row r="494" spans="9:9" ht="13.2">
      <c r="I494" s="6"/>
    </row>
    <row r="495" spans="9:9" ht="13.2">
      <c r="I495" s="6"/>
    </row>
    <row r="496" spans="9:9" ht="13.2">
      <c r="I496" s="6"/>
    </row>
    <row r="497" spans="9:9" ht="13.2">
      <c r="I497" s="6"/>
    </row>
    <row r="498" spans="9:9" ht="13.2">
      <c r="I498" s="6"/>
    </row>
    <row r="499" spans="9:9" ht="13.2">
      <c r="I499" s="6"/>
    </row>
    <row r="500" spans="9:9" ht="13.2">
      <c r="I500" s="6"/>
    </row>
    <row r="501" spans="9:9" ht="13.2">
      <c r="I501" s="6"/>
    </row>
    <row r="502" spans="9:9" ht="13.2">
      <c r="I502" s="6"/>
    </row>
    <row r="503" spans="9:9" ht="13.2">
      <c r="I503" s="6"/>
    </row>
    <row r="504" spans="9:9" ht="13.2">
      <c r="I504" s="6"/>
    </row>
    <row r="505" spans="9:9" ht="13.2">
      <c r="I505" s="6"/>
    </row>
    <row r="506" spans="9:9" ht="13.2">
      <c r="I506" s="6"/>
    </row>
    <row r="507" spans="9:9" ht="13.2">
      <c r="I507" s="6"/>
    </row>
    <row r="508" spans="9:9" ht="13.2">
      <c r="I508" s="6"/>
    </row>
    <row r="509" spans="9:9" ht="13.2">
      <c r="I509" s="6"/>
    </row>
    <row r="510" spans="9:9" ht="13.2">
      <c r="I510" s="6"/>
    </row>
    <row r="511" spans="9:9" ht="13.2">
      <c r="I511" s="6"/>
    </row>
    <row r="512" spans="9:9" ht="13.2">
      <c r="I512" s="6"/>
    </row>
    <row r="513" spans="9:9" ht="13.2">
      <c r="I513" s="6"/>
    </row>
    <row r="514" spans="9:9" ht="13.2">
      <c r="I514" s="6"/>
    </row>
    <row r="515" spans="9:9" ht="13.2">
      <c r="I515" s="6"/>
    </row>
    <row r="516" spans="9:9" ht="13.2">
      <c r="I516" s="6"/>
    </row>
    <row r="517" spans="9:9" ht="13.2">
      <c r="I517" s="6"/>
    </row>
    <row r="518" spans="9:9" ht="13.2">
      <c r="I518" s="6"/>
    </row>
    <row r="519" spans="9:9" ht="13.2">
      <c r="I519" s="6"/>
    </row>
    <row r="520" spans="9:9" ht="13.2">
      <c r="I520" s="6"/>
    </row>
    <row r="521" spans="9:9" ht="13.2">
      <c r="I521" s="6"/>
    </row>
    <row r="522" spans="9:9" ht="13.2">
      <c r="I522" s="6"/>
    </row>
    <row r="523" spans="9:9" ht="13.2">
      <c r="I523" s="6"/>
    </row>
    <row r="524" spans="9:9" ht="13.2">
      <c r="I524" s="6"/>
    </row>
    <row r="525" spans="9:9" ht="13.2">
      <c r="I525" s="6"/>
    </row>
    <row r="526" spans="9:9" ht="13.2">
      <c r="I526" s="6"/>
    </row>
    <row r="527" spans="9:9" ht="13.2">
      <c r="I527" s="6"/>
    </row>
    <row r="528" spans="9:9" ht="13.2">
      <c r="I528" s="6"/>
    </row>
    <row r="529" spans="9:9" ht="13.2">
      <c r="I529" s="6"/>
    </row>
    <row r="530" spans="9:9" ht="13.2">
      <c r="I530" s="6"/>
    </row>
    <row r="531" spans="9:9" ht="13.2">
      <c r="I531" s="6"/>
    </row>
    <row r="532" spans="9:9" ht="13.2">
      <c r="I532" s="6"/>
    </row>
    <row r="533" spans="9:9" ht="13.2">
      <c r="I533" s="6"/>
    </row>
    <row r="534" spans="9:9" ht="13.2">
      <c r="I534" s="6"/>
    </row>
    <row r="535" spans="9:9" ht="13.2">
      <c r="I535" s="6"/>
    </row>
    <row r="536" spans="9:9" ht="13.2">
      <c r="I536" s="6"/>
    </row>
    <row r="537" spans="9:9" ht="13.2">
      <c r="I537" s="6"/>
    </row>
    <row r="538" spans="9:9" ht="13.2">
      <c r="I538" s="6"/>
    </row>
    <row r="539" spans="9:9" ht="13.2">
      <c r="I539" s="6"/>
    </row>
    <row r="540" spans="9:9" ht="13.2">
      <c r="I540" s="6"/>
    </row>
    <row r="541" spans="9:9" ht="13.2">
      <c r="I541" s="6"/>
    </row>
    <row r="542" spans="9:9" ht="13.2">
      <c r="I542" s="6"/>
    </row>
    <row r="543" spans="9:9" ht="13.2">
      <c r="I543" s="6"/>
    </row>
    <row r="544" spans="9:9" ht="13.2">
      <c r="I544" s="6"/>
    </row>
    <row r="545" spans="9:9" ht="13.2">
      <c r="I545" s="6"/>
    </row>
    <row r="546" spans="9:9" ht="13.2">
      <c r="I546" s="6"/>
    </row>
    <row r="547" spans="9:9" ht="13.2">
      <c r="I547" s="6"/>
    </row>
    <row r="548" spans="9:9" ht="13.2">
      <c r="I548" s="6"/>
    </row>
    <row r="549" spans="9:9" ht="13.2">
      <c r="I549" s="6"/>
    </row>
    <row r="550" spans="9:9" ht="13.2">
      <c r="I550" s="6"/>
    </row>
    <row r="551" spans="9:9" ht="13.2">
      <c r="I551" s="6"/>
    </row>
    <row r="552" spans="9:9" ht="13.2">
      <c r="I552" s="6"/>
    </row>
    <row r="553" spans="9:9" ht="13.2">
      <c r="I553" s="6"/>
    </row>
    <row r="554" spans="9:9" ht="13.2">
      <c r="I554" s="6"/>
    </row>
    <row r="555" spans="9:9" ht="13.2">
      <c r="I555" s="6"/>
    </row>
    <row r="556" spans="9:9" ht="13.2">
      <c r="I556" s="6"/>
    </row>
    <row r="557" spans="9:9" ht="13.2">
      <c r="I557" s="6"/>
    </row>
    <row r="558" spans="9:9" ht="13.2">
      <c r="I558" s="6"/>
    </row>
    <row r="559" spans="9:9" ht="13.2">
      <c r="I559" s="6"/>
    </row>
    <row r="560" spans="9:9" ht="13.2">
      <c r="I560" s="6"/>
    </row>
    <row r="561" spans="9:9" ht="13.2">
      <c r="I561" s="6"/>
    </row>
    <row r="562" spans="9:9" ht="13.2">
      <c r="I562" s="6"/>
    </row>
    <row r="563" spans="9:9" ht="13.2">
      <c r="I563" s="6"/>
    </row>
    <row r="564" spans="9:9" ht="13.2">
      <c r="I564" s="6"/>
    </row>
    <row r="565" spans="9:9" ht="13.2">
      <c r="I565" s="6"/>
    </row>
    <row r="566" spans="9:9" ht="13.2">
      <c r="I566" s="6"/>
    </row>
    <row r="567" spans="9:9" ht="13.2">
      <c r="I567" s="6"/>
    </row>
    <row r="568" spans="9:9" ht="13.2">
      <c r="I568" s="6"/>
    </row>
    <row r="569" spans="9:9" ht="13.2">
      <c r="I569" s="6"/>
    </row>
    <row r="570" spans="9:9" ht="13.2">
      <c r="I570" s="6"/>
    </row>
    <row r="571" spans="9:9" ht="13.2">
      <c r="I571" s="6"/>
    </row>
    <row r="572" spans="9:9" ht="13.2">
      <c r="I572" s="6"/>
    </row>
    <row r="573" spans="9:9" ht="13.2">
      <c r="I573" s="6"/>
    </row>
    <row r="574" spans="9:9" ht="13.2">
      <c r="I574" s="6"/>
    </row>
    <row r="575" spans="9:9" ht="13.2">
      <c r="I575" s="6"/>
    </row>
    <row r="576" spans="9:9" ht="13.2">
      <c r="I576" s="6"/>
    </row>
    <row r="577" spans="9:9" ht="13.2">
      <c r="I577" s="6"/>
    </row>
    <row r="578" spans="9:9" ht="13.2">
      <c r="I578" s="6"/>
    </row>
    <row r="579" spans="9:9" ht="13.2">
      <c r="I579" s="6"/>
    </row>
    <row r="580" spans="9:9" ht="13.2">
      <c r="I580" s="6"/>
    </row>
    <row r="581" spans="9:9" ht="13.2">
      <c r="I581" s="6"/>
    </row>
    <row r="582" spans="9:9" ht="13.2">
      <c r="I582" s="6"/>
    </row>
    <row r="583" spans="9:9" ht="13.2">
      <c r="I583" s="6"/>
    </row>
    <row r="584" spans="9:9" ht="13.2">
      <c r="I584" s="6"/>
    </row>
    <row r="585" spans="9:9" ht="13.2">
      <c r="I585" s="6"/>
    </row>
    <row r="586" spans="9:9" ht="13.2">
      <c r="I586" s="6"/>
    </row>
    <row r="587" spans="9:9" ht="13.2">
      <c r="I587" s="6"/>
    </row>
    <row r="588" spans="9:9" ht="13.2">
      <c r="I588" s="6"/>
    </row>
    <row r="589" spans="9:9" ht="13.2">
      <c r="I589" s="6"/>
    </row>
    <row r="590" spans="9:9" ht="13.2">
      <c r="I590" s="6"/>
    </row>
    <row r="591" spans="9:9" ht="13.2">
      <c r="I591" s="6"/>
    </row>
    <row r="592" spans="9:9" ht="13.2">
      <c r="I592" s="6"/>
    </row>
    <row r="593" spans="9:9" ht="13.2">
      <c r="I593" s="6"/>
    </row>
    <row r="594" spans="9:9" ht="13.2">
      <c r="I594" s="6"/>
    </row>
    <row r="595" spans="9:9" ht="13.2">
      <c r="I595" s="6"/>
    </row>
    <row r="596" spans="9:9" ht="13.2">
      <c r="I596" s="6"/>
    </row>
    <row r="597" spans="9:9" ht="13.2">
      <c r="I597" s="6"/>
    </row>
    <row r="598" spans="9:9" ht="13.2">
      <c r="I598" s="6"/>
    </row>
    <row r="599" spans="9:9" ht="13.2">
      <c r="I599" s="6"/>
    </row>
    <row r="600" spans="9:9" ht="13.2">
      <c r="I600" s="6"/>
    </row>
    <row r="601" spans="9:9" ht="13.2">
      <c r="I601" s="6"/>
    </row>
    <row r="602" spans="9:9" ht="13.2">
      <c r="I602" s="6"/>
    </row>
    <row r="603" spans="9:9" ht="13.2">
      <c r="I603" s="6"/>
    </row>
    <row r="604" spans="9:9" ht="13.2">
      <c r="I604" s="6"/>
    </row>
    <row r="605" spans="9:9" ht="13.2">
      <c r="I605" s="6"/>
    </row>
    <row r="606" spans="9:9" ht="13.2">
      <c r="I606" s="6"/>
    </row>
    <row r="607" spans="9:9" ht="13.2">
      <c r="I607" s="6"/>
    </row>
    <row r="608" spans="9:9" ht="13.2">
      <c r="I608" s="6"/>
    </row>
    <row r="609" spans="9:9" ht="13.2">
      <c r="I609" s="6"/>
    </row>
    <row r="610" spans="9:9" ht="13.2">
      <c r="I610" s="6"/>
    </row>
    <row r="611" spans="9:9" ht="13.2">
      <c r="I611" s="6"/>
    </row>
    <row r="612" spans="9:9" ht="13.2">
      <c r="I612" s="6"/>
    </row>
    <row r="613" spans="9:9" ht="13.2">
      <c r="I613" s="6"/>
    </row>
    <row r="614" spans="9:9" ht="13.2">
      <c r="I614" s="6"/>
    </row>
    <row r="615" spans="9:9" ht="13.2">
      <c r="I615" s="6"/>
    </row>
    <row r="616" spans="9:9" ht="13.2">
      <c r="I616" s="6"/>
    </row>
    <row r="617" spans="9:9" ht="13.2">
      <c r="I617" s="6"/>
    </row>
    <row r="618" spans="9:9" ht="13.2">
      <c r="I618" s="6"/>
    </row>
    <row r="619" spans="9:9" ht="13.2">
      <c r="I619" s="6"/>
    </row>
    <row r="620" spans="9:9" ht="13.2">
      <c r="I620" s="6"/>
    </row>
    <row r="621" spans="9:9" ht="13.2">
      <c r="I621" s="6"/>
    </row>
    <row r="622" spans="9:9" ht="13.2">
      <c r="I622" s="6"/>
    </row>
    <row r="623" spans="9:9" ht="13.2">
      <c r="I623" s="6"/>
    </row>
    <row r="624" spans="9:9" ht="13.2">
      <c r="I624" s="6"/>
    </row>
    <row r="625" spans="9:9" ht="13.2">
      <c r="I625" s="6"/>
    </row>
    <row r="626" spans="9:9" ht="13.2">
      <c r="I626" s="6"/>
    </row>
    <row r="627" spans="9:9" ht="13.2">
      <c r="I627" s="6"/>
    </row>
    <row r="628" spans="9:9" ht="13.2">
      <c r="I628" s="6"/>
    </row>
    <row r="629" spans="9:9" ht="13.2">
      <c r="I629" s="6"/>
    </row>
    <row r="630" spans="9:9" ht="13.2">
      <c r="I630" s="6"/>
    </row>
    <row r="631" spans="9:9" ht="13.2">
      <c r="I631" s="6"/>
    </row>
    <row r="632" spans="9:9" ht="13.2">
      <c r="I632" s="6"/>
    </row>
    <row r="633" spans="9:9" ht="13.2">
      <c r="I633" s="6"/>
    </row>
    <row r="634" spans="9:9" ht="13.2">
      <c r="I634" s="6"/>
    </row>
    <row r="635" spans="9:9" ht="13.2">
      <c r="I635" s="6"/>
    </row>
    <row r="636" spans="9:9" ht="13.2">
      <c r="I636" s="6"/>
    </row>
    <row r="637" spans="9:9" ht="13.2">
      <c r="I637" s="6"/>
    </row>
    <row r="638" spans="9:9" ht="13.2">
      <c r="I638" s="6"/>
    </row>
    <row r="639" spans="9:9" ht="13.2">
      <c r="I639" s="6"/>
    </row>
    <row r="640" spans="9:9" ht="13.2">
      <c r="I640" s="6"/>
    </row>
    <row r="641" spans="9:9" ht="13.2">
      <c r="I641" s="6"/>
    </row>
    <row r="642" spans="9:9" ht="13.2">
      <c r="I642" s="6"/>
    </row>
    <row r="643" spans="9:9" ht="13.2">
      <c r="I643" s="6"/>
    </row>
    <row r="644" spans="9:9" ht="13.2">
      <c r="I644" s="6"/>
    </row>
    <row r="645" spans="9:9" ht="13.2">
      <c r="I645" s="6"/>
    </row>
    <row r="646" spans="9:9" ht="13.2">
      <c r="I646" s="6"/>
    </row>
    <row r="647" spans="9:9" ht="13.2">
      <c r="I647" s="6"/>
    </row>
    <row r="648" spans="9:9" ht="13.2">
      <c r="I648" s="6"/>
    </row>
    <row r="649" spans="9:9" ht="13.2">
      <c r="I649" s="6"/>
    </row>
    <row r="650" spans="9:9" ht="13.2">
      <c r="I650" s="6"/>
    </row>
    <row r="651" spans="9:9" ht="13.2">
      <c r="I651" s="6"/>
    </row>
    <row r="652" spans="9:9" ht="13.2">
      <c r="I652" s="6"/>
    </row>
    <row r="653" spans="9:9" ht="13.2">
      <c r="I653" s="6"/>
    </row>
    <row r="654" spans="9:9" ht="13.2">
      <c r="I654" s="6"/>
    </row>
    <row r="655" spans="9:9" ht="13.2">
      <c r="I655" s="6"/>
    </row>
    <row r="656" spans="9:9" ht="13.2">
      <c r="I656" s="6"/>
    </row>
    <row r="657" spans="9:9" ht="13.2">
      <c r="I657" s="6"/>
    </row>
    <row r="658" spans="9:9" ht="13.2">
      <c r="I658" s="6"/>
    </row>
    <row r="659" spans="9:9" ht="13.2">
      <c r="I659" s="6"/>
    </row>
    <row r="660" spans="9:9" ht="13.2">
      <c r="I660" s="6"/>
    </row>
    <row r="661" spans="9:9" ht="13.2">
      <c r="I661" s="6"/>
    </row>
    <row r="662" spans="9:9" ht="13.2">
      <c r="I662" s="6"/>
    </row>
    <row r="663" spans="9:9" ht="13.2">
      <c r="I663" s="6"/>
    </row>
    <row r="664" spans="9:9" ht="13.2">
      <c r="I664" s="6"/>
    </row>
    <row r="665" spans="9:9" ht="13.2">
      <c r="I665" s="6"/>
    </row>
    <row r="666" spans="9:9" ht="13.2">
      <c r="I666" s="6"/>
    </row>
    <row r="667" spans="9:9" ht="13.2">
      <c r="I667" s="6"/>
    </row>
    <row r="668" spans="9:9" ht="13.2">
      <c r="I668" s="6"/>
    </row>
    <row r="669" spans="9:9" ht="13.2">
      <c r="I669" s="6"/>
    </row>
    <row r="670" spans="9:9" ht="13.2">
      <c r="I670" s="6"/>
    </row>
    <row r="671" spans="9:9" ht="13.2">
      <c r="I671" s="6"/>
    </row>
    <row r="672" spans="9:9" ht="13.2">
      <c r="I672" s="6"/>
    </row>
    <row r="673" spans="9:9" ht="13.2">
      <c r="I673" s="6"/>
    </row>
    <row r="674" spans="9:9" ht="13.2">
      <c r="I674" s="6"/>
    </row>
    <row r="675" spans="9:9" ht="13.2">
      <c r="I675" s="6"/>
    </row>
    <row r="676" spans="9:9" ht="13.2">
      <c r="I676" s="6"/>
    </row>
    <row r="677" spans="9:9" ht="13.2">
      <c r="I677" s="6"/>
    </row>
    <row r="678" spans="9:9" ht="13.2">
      <c r="I678" s="6"/>
    </row>
    <row r="679" spans="9:9" ht="13.2">
      <c r="I679" s="6"/>
    </row>
    <row r="680" spans="9:9" ht="13.2">
      <c r="I680" s="6"/>
    </row>
    <row r="681" spans="9:9" ht="13.2">
      <c r="I681" s="6"/>
    </row>
    <row r="682" spans="9:9" ht="13.2">
      <c r="I682" s="6"/>
    </row>
    <row r="683" spans="9:9" ht="13.2">
      <c r="I683" s="6"/>
    </row>
    <row r="684" spans="9:9" ht="13.2">
      <c r="I684" s="6"/>
    </row>
    <row r="685" spans="9:9" ht="13.2">
      <c r="I685" s="6"/>
    </row>
    <row r="686" spans="9:9" ht="13.2">
      <c r="I686" s="6"/>
    </row>
    <row r="687" spans="9:9" ht="13.2">
      <c r="I687" s="6"/>
    </row>
    <row r="688" spans="9:9" ht="13.2">
      <c r="I688" s="6"/>
    </row>
    <row r="689" spans="9:9" ht="13.2">
      <c r="I689" s="6"/>
    </row>
    <row r="690" spans="9:9" ht="13.2">
      <c r="I690" s="6"/>
    </row>
    <row r="691" spans="9:9" ht="13.2">
      <c r="I691" s="6"/>
    </row>
    <row r="692" spans="9:9" ht="13.2">
      <c r="I692" s="6"/>
    </row>
    <row r="693" spans="9:9" ht="13.2">
      <c r="I693" s="6"/>
    </row>
    <row r="694" spans="9:9" ht="13.2">
      <c r="I694" s="6"/>
    </row>
    <row r="695" spans="9:9" ht="13.2">
      <c r="I695" s="6"/>
    </row>
    <row r="696" spans="9:9" ht="13.2">
      <c r="I696" s="6"/>
    </row>
    <row r="697" spans="9:9" ht="13.2">
      <c r="I697" s="6"/>
    </row>
    <row r="698" spans="9:9" ht="13.2">
      <c r="I698" s="6"/>
    </row>
    <row r="699" spans="9:9" ht="13.2">
      <c r="I699" s="6"/>
    </row>
    <row r="700" spans="9:9" ht="13.2">
      <c r="I700" s="6"/>
    </row>
    <row r="701" spans="9:9" ht="13.2">
      <c r="I701" s="6"/>
    </row>
    <row r="702" spans="9:9" ht="13.2">
      <c r="I702" s="6"/>
    </row>
    <row r="703" spans="9:9" ht="13.2">
      <c r="I703" s="6"/>
    </row>
    <row r="704" spans="9:9" ht="13.2">
      <c r="I704" s="6"/>
    </row>
    <row r="705" spans="9:9" ht="13.2">
      <c r="I705" s="6"/>
    </row>
    <row r="706" spans="9:9" ht="13.2">
      <c r="I706" s="6"/>
    </row>
    <row r="707" spans="9:9" ht="13.2">
      <c r="I707" s="6"/>
    </row>
    <row r="708" spans="9:9" ht="13.2">
      <c r="I708" s="6"/>
    </row>
    <row r="709" spans="9:9" ht="13.2">
      <c r="I709" s="6"/>
    </row>
    <row r="710" spans="9:9" ht="13.2">
      <c r="I710" s="6"/>
    </row>
    <row r="711" spans="9:9" ht="13.2">
      <c r="I711" s="6"/>
    </row>
    <row r="712" spans="9:9" ht="13.2">
      <c r="I712" s="6"/>
    </row>
    <row r="713" spans="9:9" ht="13.2">
      <c r="I713" s="6"/>
    </row>
    <row r="714" spans="9:9" ht="13.2">
      <c r="I714" s="6"/>
    </row>
    <row r="715" spans="9:9" ht="13.2">
      <c r="I715" s="6"/>
    </row>
    <row r="716" spans="9:9" ht="13.2">
      <c r="I716" s="6"/>
    </row>
    <row r="717" spans="9:9" ht="13.2">
      <c r="I717" s="6"/>
    </row>
    <row r="718" spans="9:9" ht="13.2">
      <c r="I718" s="6"/>
    </row>
    <row r="719" spans="9:9" ht="13.2">
      <c r="I719" s="6"/>
    </row>
    <row r="720" spans="9:9" ht="13.2">
      <c r="I720" s="6"/>
    </row>
    <row r="721" spans="9:9" ht="13.2">
      <c r="I721" s="6"/>
    </row>
    <row r="722" spans="9:9" ht="13.2">
      <c r="I722" s="6"/>
    </row>
    <row r="723" spans="9:9" ht="13.2">
      <c r="I723" s="6"/>
    </row>
    <row r="724" spans="9:9" ht="13.2">
      <c r="I724" s="6"/>
    </row>
    <row r="725" spans="9:9" ht="13.2">
      <c r="I725" s="6"/>
    </row>
    <row r="726" spans="9:9" ht="13.2">
      <c r="I726" s="6"/>
    </row>
    <row r="727" spans="9:9" ht="13.2">
      <c r="I727" s="6"/>
    </row>
    <row r="728" spans="9:9" ht="13.2">
      <c r="I728" s="6"/>
    </row>
    <row r="729" spans="9:9" ht="13.2">
      <c r="I729" s="6"/>
    </row>
    <row r="730" spans="9:9" ht="13.2">
      <c r="I730" s="6"/>
    </row>
    <row r="731" spans="9:9" ht="13.2">
      <c r="I731" s="6"/>
    </row>
    <row r="732" spans="9:9" ht="13.2">
      <c r="I732" s="6"/>
    </row>
    <row r="733" spans="9:9" ht="13.2">
      <c r="I733" s="6"/>
    </row>
    <row r="734" spans="9:9" ht="13.2">
      <c r="I734" s="6"/>
    </row>
    <row r="735" spans="9:9" ht="13.2">
      <c r="I735" s="6"/>
    </row>
    <row r="736" spans="9:9" ht="13.2">
      <c r="I736" s="6"/>
    </row>
    <row r="737" spans="9:9" ht="13.2">
      <c r="I737" s="6"/>
    </row>
    <row r="738" spans="9:9" ht="13.2">
      <c r="I738" s="6"/>
    </row>
    <row r="739" spans="9:9" ht="13.2">
      <c r="I739" s="6"/>
    </row>
    <row r="740" spans="9:9" ht="13.2">
      <c r="I740" s="6"/>
    </row>
    <row r="741" spans="9:9" ht="13.2">
      <c r="I741" s="6"/>
    </row>
    <row r="742" spans="9:9" ht="13.2">
      <c r="I742" s="6"/>
    </row>
    <row r="743" spans="9:9" ht="13.2">
      <c r="I743" s="6"/>
    </row>
    <row r="744" spans="9:9" ht="13.2">
      <c r="I744" s="6"/>
    </row>
    <row r="745" spans="9:9" ht="13.2">
      <c r="I745" s="6"/>
    </row>
    <row r="746" spans="9:9" ht="13.2">
      <c r="I746" s="6"/>
    </row>
    <row r="747" spans="9:9" ht="13.2">
      <c r="I747" s="6"/>
    </row>
    <row r="748" spans="9:9" ht="13.2">
      <c r="I748" s="6"/>
    </row>
    <row r="749" spans="9:9" ht="13.2">
      <c r="I749" s="6"/>
    </row>
    <row r="750" spans="9:9" ht="13.2">
      <c r="I750" s="6"/>
    </row>
    <row r="751" spans="9:9" ht="13.2">
      <c r="I751" s="6"/>
    </row>
    <row r="752" spans="9:9" ht="13.2">
      <c r="I752" s="6"/>
    </row>
    <row r="753" spans="9:9" ht="13.2">
      <c r="I753" s="6"/>
    </row>
    <row r="754" spans="9:9" ht="13.2">
      <c r="I754" s="6"/>
    </row>
    <row r="755" spans="9:9" ht="13.2">
      <c r="I755" s="6"/>
    </row>
    <row r="756" spans="9:9" ht="13.2">
      <c r="I756" s="6"/>
    </row>
    <row r="757" spans="9:9" ht="13.2">
      <c r="I757" s="6"/>
    </row>
    <row r="758" spans="9:9" ht="13.2">
      <c r="I758" s="6"/>
    </row>
    <row r="759" spans="9:9" ht="13.2">
      <c r="I759" s="6"/>
    </row>
    <row r="760" spans="9:9" ht="13.2">
      <c r="I760" s="6"/>
    </row>
    <row r="761" spans="9:9" ht="13.2">
      <c r="I761" s="6"/>
    </row>
    <row r="762" spans="9:9" ht="13.2">
      <c r="I762" s="6"/>
    </row>
    <row r="763" spans="9:9" ht="13.2">
      <c r="I763" s="6"/>
    </row>
    <row r="764" spans="9:9" ht="13.2">
      <c r="I764" s="6"/>
    </row>
    <row r="765" spans="9:9" ht="13.2">
      <c r="I765" s="6"/>
    </row>
    <row r="766" spans="9:9" ht="13.2">
      <c r="I766" s="6"/>
    </row>
    <row r="767" spans="9:9" ht="13.2">
      <c r="I767" s="6"/>
    </row>
    <row r="768" spans="9:9" ht="13.2">
      <c r="I768" s="6"/>
    </row>
    <row r="769" spans="9:9" ht="13.2">
      <c r="I769" s="6"/>
    </row>
    <row r="770" spans="9:9" ht="13.2">
      <c r="I770" s="6"/>
    </row>
    <row r="771" spans="9:9" ht="13.2">
      <c r="I771" s="6"/>
    </row>
    <row r="772" spans="9:9" ht="13.2">
      <c r="I772" s="6"/>
    </row>
    <row r="773" spans="9:9" ht="13.2">
      <c r="I773" s="6"/>
    </row>
    <row r="774" spans="9:9" ht="13.2">
      <c r="I774" s="6"/>
    </row>
    <row r="775" spans="9:9" ht="13.2">
      <c r="I775" s="6"/>
    </row>
    <row r="776" spans="9:9" ht="13.2">
      <c r="I776" s="6"/>
    </row>
    <row r="777" spans="9:9" ht="13.2">
      <c r="I777" s="6"/>
    </row>
    <row r="778" spans="9:9" ht="13.2">
      <c r="I778" s="6"/>
    </row>
    <row r="779" spans="9:9" ht="13.2">
      <c r="I779" s="6"/>
    </row>
    <row r="780" spans="9:9" ht="13.2">
      <c r="I780" s="6"/>
    </row>
    <row r="781" spans="9:9" ht="13.2">
      <c r="I781" s="6"/>
    </row>
    <row r="782" spans="9:9" ht="13.2">
      <c r="I782" s="6"/>
    </row>
    <row r="783" spans="9:9" ht="13.2">
      <c r="I783" s="6"/>
    </row>
    <row r="784" spans="9:9" ht="13.2">
      <c r="I784" s="6"/>
    </row>
    <row r="785" spans="9:9" ht="13.2">
      <c r="I785" s="6"/>
    </row>
    <row r="786" spans="9:9" ht="13.2">
      <c r="I786" s="6"/>
    </row>
    <row r="787" spans="9:9" ht="13.2">
      <c r="I787" s="6"/>
    </row>
    <row r="788" spans="9:9" ht="13.2">
      <c r="I788" s="6"/>
    </row>
    <row r="789" spans="9:9" ht="13.2">
      <c r="I789" s="6"/>
    </row>
    <row r="790" spans="9:9" ht="13.2">
      <c r="I790" s="6"/>
    </row>
    <row r="791" spans="9:9" ht="13.2">
      <c r="I791" s="6"/>
    </row>
    <row r="792" spans="9:9" ht="13.2">
      <c r="I792" s="6"/>
    </row>
    <row r="793" spans="9:9" ht="13.2">
      <c r="I793" s="6"/>
    </row>
    <row r="794" spans="9:9" ht="13.2">
      <c r="I794" s="6"/>
    </row>
    <row r="795" spans="9:9" ht="13.2">
      <c r="I795" s="6"/>
    </row>
    <row r="796" spans="9:9" ht="13.2">
      <c r="I796" s="6"/>
    </row>
    <row r="797" spans="9:9" ht="13.2">
      <c r="I797" s="6"/>
    </row>
    <row r="798" spans="9:9" ht="13.2">
      <c r="I798" s="6"/>
    </row>
    <row r="799" spans="9:9" ht="13.2">
      <c r="I799" s="6"/>
    </row>
    <row r="800" spans="9:9" ht="13.2">
      <c r="I800" s="6"/>
    </row>
    <row r="801" spans="9:9" ht="13.2">
      <c r="I801" s="6"/>
    </row>
    <row r="802" spans="9:9" ht="13.2">
      <c r="I802" s="6"/>
    </row>
    <row r="803" spans="9:9" ht="13.2">
      <c r="I803" s="6"/>
    </row>
    <row r="804" spans="9:9" ht="13.2">
      <c r="I804" s="6"/>
    </row>
    <row r="805" spans="9:9" ht="13.2">
      <c r="I805" s="6"/>
    </row>
    <row r="806" spans="9:9" ht="13.2">
      <c r="I806" s="6"/>
    </row>
    <row r="807" spans="9:9" ht="13.2">
      <c r="I807" s="6"/>
    </row>
    <row r="808" spans="9:9" ht="13.2">
      <c r="I808" s="6"/>
    </row>
    <row r="809" spans="9:9" ht="13.2">
      <c r="I809" s="6"/>
    </row>
    <row r="810" spans="9:9" ht="13.2">
      <c r="I810" s="6"/>
    </row>
    <row r="811" spans="9:9" ht="13.2">
      <c r="I811" s="6"/>
    </row>
    <row r="812" spans="9:9" ht="13.2">
      <c r="I812" s="6"/>
    </row>
    <row r="813" spans="9:9" ht="13.2">
      <c r="I813" s="6"/>
    </row>
    <row r="814" spans="9:9" ht="13.2">
      <c r="I814" s="6"/>
    </row>
    <row r="815" spans="9:9" ht="13.2">
      <c r="I815" s="6"/>
    </row>
    <row r="816" spans="9:9" ht="13.2">
      <c r="I816" s="6"/>
    </row>
    <row r="817" spans="9:9" ht="13.2">
      <c r="I817" s="6"/>
    </row>
    <row r="818" spans="9:9" ht="13.2">
      <c r="I818" s="6"/>
    </row>
    <row r="819" spans="9:9" ht="13.2">
      <c r="I819" s="6"/>
    </row>
    <row r="820" spans="9:9" ht="13.2">
      <c r="I820" s="6"/>
    </row>
    <row r="821" spans="9:9" ht="13.2">
      <c r="I821" s="6"/>
    </row>
    <row r="822" spans="9:9" ht="13.2">
      <c r="I822" s="6"/>
    </row>
    <row r="823" spans="9:9" ht="13.2">
      <c r="I823" s="6"/>
    </row>
    <row r="824" spans="9:9" ht="13.2">
      <c r="I824" s="6"/>
    </row>
    <row r="825" spans="9:9" ht="13.2">
      <c r="I825" s="6"/>
    </row>
    <row r="826" spans="9:9" ht="13.2">
      <c r="I826" s="6"/>
    </row>
    <row r="827" spans="9:9" ht="13.2">
      <c r="I827" s="6"/>
    </row>
    <row r="828" spans="9:9" ht="13.2">
      <c r="I828" s="6"/>
    </row>
    <row r="829" spans="9:9" ht="13.2">
      <c r="I829" s="6"/>
    </row>
    <row r="830" spans="9:9" ht="13.2">
      <c r="I830" s="6"/>
    </row>
    <row r="831" spans="9:9" ht="13.2">
      <c r="I831" s="6"/>
    </row>
    <row r="832" spans="9:9" ht="13.2">
      <c r="I832" s="6"/>
    </row>
    <row r="833" spans="9:9" ht="13.2">
      <c r="I833" s="6"/>
    </row>
    <row r="834" spans="9:9" ht="13.2">
      <c r="I834" s="6"/>
    </row>
    <row r="835" spans="9:9" ht="13.2">
      <c r="I835" s="6"/>
    </row>
    <row r="836" spans="9:9" ht="13.2">
      <c r="I836" s="6"/>
    </row>
    <row r="837" spans="9:9" ht="13.2">
      <c r="I837" s="6"/>
    </row>
    <row r="838" spans="9:9" ht="13.2">
      <c r="I838" s="6"/>
    </row>
    <row r="839" spans="9:9" ht="13.2">
      <c r="I839" s="6"/>
    </row>
    <row r="840" spans="9:9" ht="13.2">
      <c r="I840" s="6"/>
    </row>
    <row r="841" spans="9:9" ht="13.2">
      <c r="I841" s="6"/>
    </row>
    <row r="842" spans="9:9" ht="13.2">
      <c r="I842" s="6"/>
    </row>
    <row r="843" spans="9:9" ht="13.2">
      <c r="I843" s="6"/>
    </row>
    <row r="844" spans="9:9" ht="13.2">
      <c r="I844" s="6"/>
    </row>
    <row r="845" spans="9:9" ht="13.2">
      <c r="I845" s="6"/>
    </row>
    <row r="846" spans="9:9" ht="13.2">
      <c r="I846" s="6"/>
    </row>
    <row r="847" spans="9:9" ht="13.2">
      <c r="I847" s="6"/>
    </row>
    <row r="848" spans="9:9" ht="13.2">
      <c r="I848" s="6"/>
    </row>
    <row r="849" spans="9:9" ht="13.2">
      <c r="I849" s="6"/>
    </row>
    <row r="850" spans="9:9" ht="13.2">
      <c r="I850" s="6"/>
    </row>
    <row r="851" spans="9:9" ht="13.2">
      <c r="I851" s="6"/>
    </row>
    <row r="852" spans="9:9" ht="13.2">
      <c r="I852" s="6"/>
    </row>
    <row r="853" spans="9:9" ht="13.2">
      <c r="I853" s="6"/>
    </row>
    <row r="854" spans="9:9" ht="13.2">
      <c r="I854" s="6"/>
    </row>
    <row r="855" spans="9:9" ht="13.2">
      <c r="I855" s="6"/>
    </row>
    <row r="856" spans="9:9" ht="13.2">
      <c r="I856" s="6"/>
    </row>
    <row r="857" spans="9:9" ht="13.2">
      <c r="I857" s="6"/>
    </row>
    <row r="858" spans="9:9" ht="13.2">
      <c r="I858" s="6"/>
    </row>
    <row r="859" spans="9:9" ht="13.2">
      <c r="I859" s="6"/>
    </row>
    <row r="860" spans="9:9" ht="13.2">
      <c r="I860" s="6"/>
    </row>
    <row r="861" spans="9:9" ht="13.2">
      <c r="I861" s="6"/>
    </row>
    <row r="862" spans="9:9" ht="13.2">
      <c r="I862" s="6"/>
    </row>
    <row r="863" spans="9:9" ht="13.2">
      <c r="I863" s="6"/>
    </row>
    <row r="864" spans="9:9" ht="13.2">
      <c r="I864" s="6"/>
    </row>
    <row r="865" spans="9:9" ht="13.2">
      <c r="I865" s="6"/>
    </row>
    <row r="866" spans="9:9" ht="13.2">
      <c r="I866" s="6"/>
    </row>
    <row r="867" spans="9:9" ht="13.2">
      <c r="I867" s="6"/>
    </row>
    <row r="868" spans="9:9" ht="13.2">
      <c r="I868" s="6"/>
    </row>
    <row r="869" spans="9:9" ht="13.2">
      <c r="I869" s="6"/>
    </row>
    <row r="870" spans="9:9" ht="13.2">
      <c r="I870" s="6"/>
    </row>
    <row r="871" spans="9:9" ht="13.2">
      <c r="I871" s="6"/>
    </row>
    <row r="872" spans="9:9" ht="13.2">
      <c r="I872" s="6"/>
    </row>
    <row r="873" spans="9:9" ht="13.2">
      <c r="I873" s="6"/>
    </row>
    <row r="874" spans="9:9" ht="13.2">
      <c r="I874" s="6"/>
    </row>
    <row r="875" spans="9:9" ht="13.2">
      <c r="I875" s="6"/>
    </row>
    <row r="876" spans="9:9" ht="13.2">
      <c r="I876" s="6"/>
    </row>
    <row r="877" spans="9:9" ht="13.2">
      <c r="I877" s="6"/>
    </row>
    <row r="878" spans="9:9" ht="13.2">
      <c r="I878" s="6"/>
    </row>
    <row r="879" spans="9:9" ht="13.2">
      <c r="I879" s="6"/>
    </row>
    <row r="880" spans="9:9" ht="13.2">
      <c r="I880" s="6"/>
    </row>
    <row r="881" spans="9:9" ht="13.2">
      <c r="I881" s="6"/>
    </row>
    <row r="882" spans="9:9" ht="13.2">
      <c r="I882" s="6"/>
    </row>
    <row r="883" spans="9:9" ht="13.2">
      <c r="I883" s="6"/>
    </row>
    <row r="884" spans="9:9" ht="13.2">
      <c r="I884" s="6"/>
    </row>
    <row r="885" spans="9:9" ht="13.2">
      <c r="I885" s="6"/>
    </row>
    <row r="886" spans="9:9" ht="13.2">
      <c r="I886" s="6"/>
    </row>
    <row r="887" spans="9:9" ht="13.2">
      <c r="I887" s="6"/>
    </row>
    <row r="888" spans="9:9" ht="13.2">
      <c r="I888" s="6"/>
    </row>
    <row r="889" spans="9:9" ht="13.2">
      <c r="I889" s="6"/>
    </row>
    <row r="890" spans="9:9" ht="13.2">
      <c r="I890" s="6"/>
    </row>
    <row r="891" spans="9:9" ht="13.2">
      <c r="I891" s="6"/>
    </row>
    <row r="892" spans="9:9" ht="13.2">
      <c r="I892" s="6"/>
    </row>
    <row r="893" spans="9:9" ht="13.2">
      <c r="I893" s="6"/>
    </row>
    <row r="894" spans="9:9" ht="13.2">
      <c r="I894" s="6"/>
    </row>
    <row r="895" spans="9:9" ht="13.2">
      <c r="I895" s="6"/>
    </row>
    <row r="896" spans="9:9" ht="13.2">
      <c r="I896" s="6"/>
    </row>
    <row r="897" spans="9:9" ht="13.2">
      <c r="I897" s="6"/>
    </row>
    <row r="898" spans="9:9" ht="13.2">
      <c r="I898" s="6"/>
    </row>
    <row r="899" spans="9:9" ht="13.2">
      <c r="I899" s="6"/>
    </row>
    <row r="900" spans="9:9" ht="13.2">
      <c r="I900" s="6"/>
    </row>
    <row r="901" spans="9:9" ht="13.2">
      <c r="I901" s="6"/>
    </row>
    <row r="902" spans="9:9" ht="13.2">
      <c r="I902" s="6"/>
    </row>
    <row r="903" spans="9:9" ht="13.2">
      <c r="I903" s="6"/>
    </row>
    <row r="904" spans="9:9" ht="13.2">
      <c r="I904" s="6"/>
    </row>
    <row r="905" spans="9:9" ht="13.2">
      <c r="I905" s="6"/>
    </row>
    <row r="906" spans="9:9" ht="13.2">
      <c r="I906" s="6"/>
    </row>
    <row r="907" spans="9:9" ht="13.2">
      <c r="I907" s="6"/>
    </row>
    <row r="908" spans="9:9" ht="13.2">
      <c r="I908" s="6"/>
    </row>
    <row r="909" spans="9:9" ht="13.2">
      <c r="I909" s="6"/>
    </row>
    <row r="910" spans="9:9" ht="13.2">
      <c r="I910" s="6"/>
    </row>
    <row r="911" spans="9:9" ht="13.2">
      <c r="I911" s="6"/>
    </row>
    <row r="912" spans="9:9" ht="13.2">
      <c r="I912" s="6"/>
    </row>
    <row r="913" spans="9:9" ht="13.2">
      <c r="I913" s="6"/>
    </row>
    <row r="914" spans="9:9" ht="13.2">
      <c r="I914" s="6"/>
    </row>
    <row r="915" spans="9:9" ht="13.2">
      <c r="I915" s="6"/>
    </row>
    <row r="916" spans="9:9" ht="13.2">
      <c r="I916" s="6"/>
    </row>
    <row r="917" spans="9:9" ht="13.2">
      <c r="I917" s="6"/>
    </row>
    <row r="918" spans="9:9" ht="13.2">
      <c r="I918" s="6"/>
    </row>
    <row r="919" spans="9:9" ht="13.2">
      <c r="I919" s="6"/>
    </row>
    <row r="920" spans="9:9" ht="13.2">
      <c r="I920" s="6"/>
    </row>
    <row r="921" spans="9:9" ht="13.2">
      <c r="I921" s="6"/>
    </row>
    <row r="922" spans="9:9" ht="13.2">
      <c r="I922" s="6"/>
    </row>
    <row r="923" spans="9:9" ht="13.2">
      <c r="I923" s="6"/>
    </row>
    <row r="924" spans="9:9" ht="13.2">
      <c r="I924" s="6"/>
    </row>
    <row r="925" spans="9:9" ht="13.2">
      <c r="I925" s="6"/>
    </row>
    <row r="926" spans="9:9" ht="13.2">
      <c r="I926" s="6"/>
    </row>
    <row r="927" spans="9:9" ht="13.2">
      <c r="I927" s="6"/>
    </row>
    <row r="928" spans="9:9" ht="13.2">
      <c r="I928" s="6"/>
    </row>
    <row r="929" spans="9:9" ht="13.2">
      <c r="I929" s="6"/>
    </row>
    <row r="930" spans="9:9" ht="13.2">
      <c r="I930" s="6"/>
    </row>
    <row r="931" spans="9:9" ht="13.2">
      <c r="I931" s="6"/>
    </row>
    <row r="932" spans="9:9" ht="13.2">
      <c r="I932" s="6"/>
    </row>
    <row r="933" spans="9:9" ht="13.2">
      <c r="I933" s="6"/>
    </row>
    <row r="934" spans="9:9" ht="13.2">
      <c r="I934" s="6"/>
    </row>
    <row r="935" spans="9:9" ht="13.2">
      <c r="I935" s="6"/>
    </row>
    <row r="936" spans="9:9" ht="13.2">
      <c r="I936" s="6"/>
    </row>
    <row r="937" spans="9:9" ht="13.2">
      <c r="I937" s="6"/>
    </row>
    <row r="938" spans="9:9" ht="13.2">
      <c r="I938" s="6"/>
    </row>
    <row r="939" spans="9:9" ht="13.2">
      <c r="I939" s="6"/>
    </row>
    <row r="940" spans="9:9" ht="13.2">
      <c r="I940" s="6"/>
    </row>
    <row r="941" spans="9:9" ht="13.2">
      <c r="I941" s="6"/>
    </row>
    <row r="942" spans="9:9" ht="13.2">
      <c r="I942" s="6"/>
    </row>
    <row r="943" spans="9:9" ht="13.2">
      <c r="I943" s="6"/>
    </row>
    <row r="944" spans="9:9" ht="13.2">
      <c r="I944" s="6"/>
    </row>
    <row r="945" spans="9:9" ht="13.2">
      <c r="I945" s="6"/>
    </row>
    <row r="946" spans="9:9" ht="13.2">
      <c r="I946" s="6"/>
    </row>
    <row r="947" spans="9:9" ht="13.2">
      <c r="I947" s="6"/>
    </row>
    <row r="948" spans="9:9" ht="13.2">
      <c r="I948" s="6"/>
    </row>
    <row r="949" spans="9:9" ht="13.2">
      <c r="I949" s="6"/>
    </row>
    <row r="950" spans="9:9" ht="13.2">
      <c r="I950" s="6"/>
    </row>
    <row r="951" spans="9:9" ht="13.2">
      <c r="I951" s="6"/>
    </row>
    <row r="952" spans="9:9" ht="13.2">
      <c r="I952" s="6"/>
    </row>
    <row r="953" spans="9:9" ht="13.2">
      <c r="I953" s="6"/>
    </row>
    <row r="954" spans="9:9" ht="13.2">
      <c r="I954" s="6"/>
    </row>
    <row r="955" spans="9:9" ht="13.2">
      <c r="I955" s="6"/>
    </row>
    <row r="956" spans="9:9" ht="13.2">
      <c r="I956" s="6"/>
    </row>
    <row r="957" spans="9:9" ht="13.2">
      <c r="I957" s="6"/>
    </row>
    <row r="958" spans="9:9" ht="13.2">
      <c r="I958" s="6"/>
    </row>
    <row r="959" spans="9:9" ht="13.2">
      <c r="I959" s="6"/>
    </row>
    <row r="960" spans="9:9" ht="13.2">
      <c r="I960" s="6"/>
    </row>
    <row r="961" spans="9:9" ht="13.2">
      <c r="I961" s="6"/>
    </row>
    <row r="962" spans="9:9" ht="13.2">
      <c r="I962" s="6"/>
    </row>
    <row r="963" spans="9:9" ht="13.2">
      <c r="I963" s="6"/>
    </row>
    <row r="964" spans="9:9" ht="13.2">
      <c r="I964" s="6"/>
    </row>
    <row r="965" spans="9:9" ht="13.2">
      <c r="I965" s="6"/>
    </row>
    <row r="966" spans="9:9" ht="13.2">
      <c r="I966" s="6"/>
    </row>
    <row r="967" spans="9:9" ht="13.2">
      <c r="I967" s="6"/>
    </row>
    <row r="968" spans="9:9" ht="13.2">
      <c r="I968" s="6"/>
    </row>
    <row r="969" spans="9:9" ht="13.2">
      <c r="I969" s="6"/>
    </row>
    <row r="970" spans="9:9" ht="13.2">
      <c r="I970" s="6"/>
    </row>
    <row r="971" spans="9:9" ht="13.2">
      <c r="I971" s="6"/>
    </row>
    <row r="972" spans="9:9" ht="13.2">
      <c r="I972" s="6"/>
    </row>
    <row r="973" spans="9:9" ht="13.2">
      <c r="I973" s="6"/>
    </row>
    <row r="974" spans="9:9" ht="13.2">
      <c r="I974" s="6"/>
    </row>
    <row r="975" spans="9:9" ht="13.2">
      <c r="I975" s="6"/>
    </row>
    <row r="976" spans="9:9" ht="13.2">
      <c r="I976" s="6"/>
    </row>
    <row r="977" spans="9:9" ht="13.2">
      <c r="I977" s="6"/>
    </row>
    <row r="978" spans="9:9" ht="13.2">
      <c r="I978" s="6"/>
    </row>
    <row r="979" spans="9:9" ht="13.2">
      <c r="I979" s="6"/>
    </row>
    <row r="980" spans="9:9" ht="13.2">
      <c r="I980" s="6"/>
    </row>
    <row r="981" spans="9:9" ht="13.2">
      <c r="I981" s="6"/>
    </row>
    <row r="982" spans="9:9" ht="13.2">
      <c r="I982" s="6"/>
    </row>
    <row r="983" spans="9:9" ht="13.2">
      <c r="I983" s="6"/>
    </row>
    <row r="984" spans="9:9" ht="13.2">
      <c r="I984" s="6"/>
    </row>
    <row r="985" spans="9:9" ht="13.2">
      <c r="I985" s="6"/>
    </row>
    <row r="986" spans="9:9" ht="13.2">
      <c r="I986" s="6"/>
    </row>
    <row r="987" spans="9:9" ht="13.2">
      <c r="I987" s="6"/>
    </row>
    <row r="988" spans="9:9" ht="13.2">
      <c r="I988" s="6"/>
    </row>
    <row r="989" spans="9:9" ht="13.2">
      <c r="I989" s="6"/>
    </row>
    <row r="990" spans="9:9" ht="13.2">
      <c r="I990" s="6"/>
    </row>
    <row r="991" spans="9:9" ht="13.2">
      <c r="I991" s="6"/>
    </row>
    <row r="992" spans="9:9" ht="13.2">
      <c r="I992" s="6"/>
    </row>
    <row r="993" spans="9:9" ht="13.2">
      <c r="I993" s="6"/>
    </row>
    <row r="994" spans="9:9" ht="13.2">
      <c r="I994" s="6"/>
    </row>
    <row r="995" spans="9:9" ht="13.2">
      <c r="I995" s="6"/>
    </row>
    <row r="996" spans="9:9" ht="13.2">
      <c r="I996" s="6"/>
    </row>
    <row r="997" spans="9:9" ht="13.2">
      <c r="I997" s="6"/>
    </row>
    <row r="998" spans="9:9" ht="13.2">
      <c r="I998" s="6"/>
    </row>
    <row r="999" spans="9:9" ht="13.2">
      <c r="I999" s="6"/>
    </row>
    <row r="1000" spans="9:9" ht="13.2">
      <c r="I1000" s="6"/>
    </row>
    <row r="1001" spans="9:9" ht="13.2">
      <c r="I1001" s="6"/>
    </row>
    <row r="1002" spans="9:9" ht="13.2">
      <c r="I1002" s="6"/>
    </row>
    <row r="1003" spans="9:9" ht="13.2">
      <c r="I1003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39997558519241921"/>
    <outlinePr summaryBelow="0" summaryRight="0"/>
  </sheetPr>
  <dimension ref="A1:O87"/>
  <sheetViews>
    <sheetView zoomScale="90" zoomScaleNormal="90" workbookViewId="0"/>
  </sheetViews>
  <sheetFormatPr defaultColWidth="14.44140625" defaultRowHeight="15.75" customHeight="1"/>
  <cols>
    <col min="1" max="7" width="14.77734375" customWidth="1"/>
    <col min="8" max="14" width="8.77734375" customWidth="1"/>
  </cols>
  <sheetData>
    <row r="1" spans="1:15" ht="15.75" customHeight="1">
      <c r="A1" t="s">
        <v>74</v>
      </c>
      <c r="B1" t="s">
        <v>78</v>
      </c>
      <c r="C1" t="s">
        <v>81</v>
      </c>
      <c r="D1" t="s">
        <v>87</v>
      </c>
      <c r="E1" t="s">
        <v>90</v>
      </c>
      <c r="F1" t="s">
        <v>91</v>
      </c>
      <c r="G1" t="s">
        <v>109</v>
      </c>
    </row>
    <row r="2" spans="1:15" ht="15.75" customHeight="1">
      <c r="A2" s="31" t="s">
        <v>1371</v>
      </c>
      <c r="B2" s="31" t="s">
        <v>1375</v>
      </c>
      <c r="C2" t="s">
        <v>1347</v>
      </c>
      <c r="D2" t="s">
        <v>1363</v>
      </c>
      <c r="E2">
        <v>80439</v>
      </c>
      <c r="F2">
        <v>39.633113000000002</v>
      </c>
      <c r="G2">
        <v>-105.320305</v>
      </c>
      <c r="H2" t="str">
        <f>IF(A2="","",A$1&amp;"="""&amp;A2&amp;""", ")</f>
        <v xml:space="preserve">locationType="Activity", </v>
      </c>
      <c r="I2" t="str">
        <f t="shared" ref="I2:L2" si="0">IF(B2="","",B$1&amp;"="""&amp;B2&amp;""", ")</f>
        <v xml:space="preserve">locationStreetAddress="28215 CO-74", </v>
      </c>
      <c r="J2" t="str">
        <f t="shared" si="0"/>
        <v xml:space="preserve">locationCity="Evergreen", </v>
      </c>
      <c r="K2" t="str">
        <f t="shared" si="0"/>
        <v xml:space="preserve">locationState="CO", </v>
      </c>
      <c r="L2" t="str">
        <f t="shared" si="0"/>
        <v xml:space="preserve">locationZip="80439", </v>
      </c>
      <c r="M2" t="str">
        <f>IF(F2="","",F$1&amp;"="&amp;F2&amp;", ")</f>
        <v xml:space="preserve">locationLatitude=39.633113, </v>
      </c>
      <c r="N2" t="str">
        <f>IF(G2="","",G$1&amp;"="&amp;G2)</f>
        <v>locationLongitude=-105.320305</v>
      </c>
      <c r="O2" s="38" t="str">
        <f>"new Location() { "&amp;CONCATENATE(H2,I2,J2,K2,L2,M2,N2)&amp;" },"</f>
        <v>new Location() { locationType="Activity", locationStreetAddress="28215 CO-74", locationCity="Evergreen", locationState="CO", locationZip="80439", locationLatitude=39.633113, locationLongitude=-105.320305 },</v>
      </c>
    </row>
    <row r="3" spans="1:15" ht="15.75" customHeight="1">
      <c r="A3" t="s">
        <v>1371</v>
      </c>
      <c r="B3" t="s">
        <v>1373</v>
      </c>
      <c r="C3" t="s">
        <v>1349</v>
      </c>
      <c r="D3" t="s">
        <v>1363</v>
      </c>
      <c r="E3">
        <v>81601</v>
      </c>
      <c r="F3">
        <v>39.551206000000001</v>
      </c>
      <c r="G3">
        <v>-107.323933</v>
      </c>
      <c r="H3" t="str">
        <f t="shared" ref="H3:H5" si="1">IF(A3="","",A$1&amp;"="""&amp;A3&amp;""", ")</f>
        <v xml:space="preserve">locationType="Activity", </v>
      </c>
      <c r="I3" t="str">
        <f t="shared" ref="I3:I5" si="2">IF(B3="","",B$1&amp;"="""&amp;B3&amp;""", ")</f>
        <v xml:space="preserve">locationStreetAddress="722 Grand Ave", </v>
      </c>
      <c r="J3" t="str">
        <f t="shared" ref="J3:J5" si="3">IF(C3="","",C$1&amp;"="""&amp;C3&amp;""", ")</f>
        <v xml:space="preserve">locationCity="Glenwood Springs", </v>
      </c>
      <c r="K3" t="str">
        <f t="shared" ref="K3:K5" si="4">IF(D3="","",D$1&amp;"="""&amp;D3&amp;""", ")</f>
        <v xml:space="preserve">locationState="CO", </v>
      </c>
      <c r="L3" t="str">
        <f t="shared" ref="L3:L5" si="5">IF(E3="","",E$1&amp;"="""&amp;E3&amp;""", ")</f>
        <v xml:space="preserve">locationZip="81601", </v>
      </c>
      <c r="M3" t="str">
        <f t="shared" ref="M3:M5" si="6">IF(F3="","",F$1&amp;"="&amp;F3&amp;", ")</f>
        <v xml:space="preserve">locationLatitude=39.551206, </v>
      </c>
      <c r="N3" t="str">
        <f t="shared" ref="N3:N5" si="7">IF(G3="","",G$1&amp;"="&amp;G3)</f>
        <v>locationLongitude=-107.323933</v>
      </c>
      <c r="O3" s="38" t="str">
        <f t="shared" ref="O3:O5" si="8">"new Location() { "&amp;CONCATENATE(H3,I3,J3,K3,L3,M3,N3)&amp;" },"</f>
        <v>new Location() { locationType="Activity", locationStreetAddress="722 Grand Ave", locationCity="Glenwood Springs", locationState="CO", locationZip="81601", locationLatitude=39.551206, locationLongitude=-107.323933 },</v>
      </c>
    </row>
    <row r="4" spans="1:15" ht="15.75" customHeight="1">
      <c r="A4" t="s">
        <v>1371</v>
      </c>
      <c r="B4" t="s">
        <v>1372</v>
      </c>
      <c r="C4" t="s">
        <v>1350</v>
      </c>
      <c r="D4" t="s">
        <v>1363</v>
      </c>
      <c r="E4">
        <v>80452</v>
      </c>
      <c r="F4">
        <v>39.752949000000001</v>
      </c>
      <c r="G4">
        <v>-105.515832</v>
      </c>
      <c r="H4" t="str">
        <f t="shared" si="1"/>
        <v xml:space="preserve">locationType="Activity", </v>
      </c>
      <c r="I4" t="str">
        <f t="shared" si="2"/>
        <v xml:space="preserve">locationStreetAddress="1517 Miner St", </v>
      </c>
      <c r="J4" t="str">
        <f t="shared" si="3"/>
        <v xml:space="preserve">locationCity="Idaho Springs", </v>
      </c>
      <c r="K4" t="str">
        <f t="shared" si="4"/>
        <v xml:space="preserve">locationState="CO", </v>
      </c>
      <c r="L4" t="str">
        <f t="shared" si="5"/>
        <v xml:space="preserve">locationZip="80452", </v>
      </c>
      <c r="M4" t="str">
        <f t="shared" si="6"/>
        <v xml:space="preserve">locationLatitude=39.752949, </v>
      </c>
      <c r="N4" t="str">
        <f t="shared" si="7"/>
        <v>locationLongitude=-105.515832</v>
      </c>
      <c r="O4" s="38" t="str">
        <f t="shared" si="8"/>
        <v>new Location() { locationType="Activity", locationStreetAddress="1517 Miner St", locationCity="Idaho Springs", locationState="CO", locationZip="80452", locationLatitude=39.752949, locationLongitude=-105.515832 },</v>
      </c>
    </row>
    <row r="5" spans="1:15" ht="15.75" customHeight="1">
      <c r="A5" s="31" t="s">
        <v>1371</v>
      </c>
      <c r="B5" s="31" t="s">
        <v>1374</v>
      </c>
      <c r="C5" t="s">
        <v>1357</v>
      </c>
      <c r="D5" t="s">
        <v>1363</v>
      </c>
      <c r="E5">
        <v>80466</v>
      </c>
      <c r="F5">
        <v>39.962046999999998</v>
      </c>
      <c r="G5">
        <v>-105.50935</v>
      </c>
      <c r="H5" t="str">
        <f t="shared" si="1"/>
        <v xml:space="preserve">locationType="Activity", </v>
      </c>
      <c r="I5" t="str">
        <f t="shared" si="2"/>
        <v xml:space="preserve">locationStreetAddress="70 E 1st St", </v>
      </c>
      <c r="J5" t="str">
        <f t="shared" si="3"/>
        <v xml:space="preserve">locationCity="Nederland", </v>
      </c>
      <c r="K5" t="str">
        <f t="shared" si="4"/>
        <v xml:space="preserve">locationState="CO", </v>
      </c>
      <c r="L5" t="str">
        <f t="shared" si="5"/>
        <v xml:space="preserve">locationZip="80466", </v>
      </c>
      <c r="M5" t="str">
        <f t="shared" si="6"/>
        <v xml:space="preserve">locationLatitude=39.962047, </v>
      </c>
      <c r="N5" t="str">
        <f t="shared" si="7"/>
        <v>locationLongitude=-105.50935</v>
      </c>
      <c r="O5" s="38" t="str">
        <f t="shared" si="8"/>
        <v>new Location() { locationType="Activity", locationStreetAddress="70 E 1st St", locationCity="Nederland", locationState="CO", locationZip="80466", locationLatitude=39.962047, locationLongitude=-105.50935 },</v>
      </c>
    </row>
    <row r="6" spans="1:15" ht="15.75" customHeight="1">
      <c r="C6" t="s">
        <v>1341</v>
      </c>
      <c r="D6" t="s">
        <v>1363</v>
      </c>
    </row>
    <row r="7" spans="1:15" ht="15.75" customHeight="1">
      <c r="C7" t="s">
        <v>1342</v>
      </c>
      <c r="D7" t="s">
        <v>1363</v>
      </c>
    </row>
    <row r="8" spans="1:15" ht="15.75" customHeight="1">
      <c r="C8" t="s">
        <v>520</v>
      </c>
      <c r="D8" t="s">
        <v>1363</v>
      </c>
    </row>
    <row r="9" spans="1:15" ht="15.75" customHeight="1">
      <c r="C9" t="s">
        <v>1343</v>
      </c>
      <c r="D9" t="s">
        <v>1363</v>
      </c>
    </row>
    <row r="10" spans="1:15" ht="15.75" customHeight="1">
      <c r="C10" t="s">
        <v>1344</v>
      </c>
      <c r="D10" t="s">
        <v>1363</v>
      </c>
    </row>
    <row r="11" spans="1:15" ht="15.75" customHeight="1">
      <c r="C11" t="s">
        <v>1345</v>
      </c>
      <c r="D11" t="s">
        <v>1363</v>
      </c>
    </row>
    <row r="12" spans="1:15" ht="15.75" customHeight="1">
      <c r="C12" t="s">
        <v>1346</v>
      </c>
      <c r="D12" t="s">
        <v>1363</v>
      </c>
    </row>
    <row r="13" spans="1:15" ht="15.75" customHeight="1">
      <c r="C13" t="s">
        <v>595</v>
      </c>
      <c r="D13" t="s">
        <v>1363</v>
      </c>
      <c r="F13" s="9"/>
    </row>
    <row r="14" spans="1:15" ht="15.75" customHeight="1">
      <c r="C14" t="s">
        <v>1348</v>
      </c>
      <c r="D14" t="s">
        <v>1363</v>
      </c>
    </row>
    <row r="15" spans="1:15" ht="15.75" customHeight="1">
      <c r="C15" t="s">
        <v>539</v>
      </c>
      <c r="D15" t="s">
        <v>1363</v>
      </c>
    </row>
    <row r="16" spans="1:15" ht="15.75" customHeight="1">
      <c r="C16" t="s">
        <v>1351</v>
      </c>
      <c r="D16" t="s">
        <v>1363</v>
      </c>
    </row>
    <row r="17" spans="3:4" ht="15.75" customHeight="1">
      <c r="C17" t="s">
        <v>1352</v>
      </c>
      <c r="D17" t="s">
        <v>1363</v>
      </c>
    </row>
    <row r="18" spans="3:4" ht="15.75" customHeight="1">
      <c r="C18" t="s">
        <v>1353</v>
      </c>
      <c r="D18" t="s">
        <v>1363</v>
      </c>
    </row>
    <row r="19" spans="3:4" ht="15.75" customHeight="1">
      <c r="C19" t="s">
        <v>1369</v>
      </c>
      <c r="D19" t="s">
        <v>1364</v>
      </c>
    </row>
    <row r="20" spans="3:4" ht="15.75" customHeight="1">
      <c r="C20" t="s">
        <v>1354</v>
      </c>
      <c r="D20" t="s">
        <v>1363</v>
      </c>
    </row>
    <row r="21" spans="3:4" ht="15.75" customHeight="1">
      <c r="C21" t="s">
        <v>1355</v>
      </c>
      <c r="D21" t="s">
        <v>1363</v>
      </c>
    </row>
    <row r="22" spans="3:4" ht="15.75" customHeight="1">
      <c r="C22" t="s">
        <v>1367</v>
      </c>
      <c r="D22" t="s">
        <v>1365</v>
      </c>
    </row>
    <row r="23" spans="3:4" ht="15.75" customHeight="1">
      <c r="C23" t="s">
        <v>1356</v>
      </c>
      <c r="D23" t="s">
        <v>1363</v>
      </c>
    </row>
    <row r="24" spans="3:4" ht="15.75" customHeight="1">
      <c r="C24" t="s">
        <v>25</v>
      </c>
      <c r="D24" t="s">
        <v>1363</v>
      </c>
    </row>
    <row r="25" spans="3:4" ht="15.75" customHeight="1">
      <c r="C25" t="s">
        <v>1358</v>
      </c>
      <c r="D25" t="s">
        <v>1363</v>
      </c>
    </row>
    <row r="26" spans="3:4" ht="15.75" customHeight="1">
      <c r="C26" t="s">
        <v>1368</v>
      </c>
      <c r="D26" t="s">
        <v>1366</v>
      </c>
    </row>
    <row r="27" spans="3:4" ht="15.75" customHeight="1">
      <c r="C27" t="s">
        <v>1359</v>
      </c>
      <c r="D27" t="s">
        <v>1363</v>
      </c>
    </row>
    <row r="28" spans="3:4" ht="15.75" customHeight="1">
      <c r="C28" t="s">
        <v>1360</v>
      </c>
      <c r="D28" t="s">
        <v>1363</v>
      </c>
    </row>
    <row r="29" spans="3:4" ht="13.2">
      <c r="C29" t="s">
        <v>1361</v>
      </c>
      <c r="D29" t="s">
        <v>1363</v>
      </c>
    </row>
    <row r="30" spans="3:4" ht="13.2">
      <c r="C30" t="s">
        <v>1362</v>
      </c>
      <c r="D30" t="s">
        <v>1363</v>
      </c>
    </row>
    <row r="31" spans="3:4" ht="13.2"/>
    <row r="32" spans="3:4" ht="13.2"/>
    <row r="33" ht="13.2"/>
    <row r="34" ht="13.2"/>
    <row r="35" ht="13.2"/>
    <row r="36" ht="13.2"/>
    <row r="37" ht="13.2"/>
    <row r="38" ht="13.2"/>
    <row r="39" ht="13.2"/>
    <row r="40" ht="13.2"/>
    <row r="41" ht="13.2"/>
    <row r="42" ht="13.2"/>
    <row r="43" ht="13.2"/>
    <row r="44" ht="13.2"/>
    <row r="45" ht="13.2"/>
    <row r="46" ht="13.2"/>
    <row r="47" ht="13.2"/>
    <row r="48" ht="13.2"/>
    <row r="49" ht="13.2"/>
    <row r="87" ht="13.2"/>
  </sheetData>
  <autoFilter ref="A1:G30" xr:uid="{341FA1BE-59DA-4C88-8CD7-1916D2E67B4B}">
    <sortState xmlns:xlrd2="http://schemas.microsoft.com/office/spreadsheetml/2017/richdata2" ref="A2:G30">
      <sortCondition ref="A1:A30"/>
    </sortState>
  </autoFilter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C0536-3F91-42F3-9E45-DECABBA1FA1D}">
  <sheetPr>
    <tabColor theme="9" tint="0.39997558519241921"/>
  </sheetPr>
  <dimension ref="A1:R6"/>
  <sheetViews>
    <sheetView workbookViewId="0"/>
  </sheetViews>
  <sheetFormatPr defaultRowHeight="13.2"/>
  <cols>
    <col min="1" max="1" width="13.6640625" bestFit="1" customWidth="1"/>
    <col min="2" max="2" width="12.5546875" bestFit="1" customWidth="1"/>
    <col min="3" max="3" width="12" bestFit="1" customWidth="1"/>
    <col min="4" max="9" width="8.33203125" customWidth="1"/>
    <col min="10" max="10" width="23.44140625" bestFit="1" customWidth="1"/>
  </cols>
  <sheetData>
    <row r="1" spans="1:18">
      <c r="A1" s="31" t="s">
        <v>159</v>
      </c>
      <c r="B1" s="31" t="s">
        <v>162</v>
      </c>
      <c r="C1" s="31" t="s">
        <v>165</v>
      </c>
      <c r="D1" s="31"/>
      <c r="E1" s="31"/>
      <c r="F1" s="31"/>
      <c r="G1" s="31"/>
      <c r="H1" s="31"/>
      <c r="I1" s="31"/>
      <c r="J1" s="31" t="s">
        <v>139</v>
      </c>
      <c r="K1" s="31" t="s">
        <v>129</v>
      </c>
      <c r="L1" s="31" t="s">
        <v>134</v>
      </c>
      <c r="M1" s="31" t="s">
        <v>137</v>
      </c>
    </row>
    <row r="2" spans="1:18">
      <c r="A2" s="31" t="s">
        <v>1382</v>
      </c>
      <c r="B2" s="31" t="s">
        <v>1384</v>
      </c>
      <c r="C2" s="31">
        <v>9962</v>
      </c>
      <c r="D2" t="str">
        <f>A$1&amp;"="""&amp;A2&amp;""", "</f>
        <v xml:space="preserve">rangeName="Front Range", </v>
      </c>
      <c r="E2" t="str">
        <f>B$1&amp;"="""&amp;B2&amp;""", "</f>
        <v xml:space="preserve">rangeTerritory="North_Central", </v>
      </c>
      <c r="F2" t="str">
        <f>C$1&amp;"="&amp;C2</f>
        <v>rangeSqMiles=9962</v>
      </c>
      <c r="G2" s="38" t="str">
        <f>"new MountainRange() { "&amp;CONCATENATE(D2,E2,F2)&amp;" },"</f>
        <v>new MountainRange() { rangeName="Front Range", rangeTerritory="North_Central", rangeSqMiles=9962 },</v>
      </c>
      <c r="H2" s="31"/>
      <c r="I2" s="31"/>
      <c r="J2" s="31" t="s">
        <v>1383</v>
      </c>
      <c r="K2" t="b">
        <v>0</v>
      </c>
      <c r="L2" t="b">
        <v>0</v>
      </c>
      <c r="M2" t="b">
        <v>0</v>
      </c>
      <c r="N2" t="str">
        <f>J$1&amp;"="""&amp;J2&amp;""", "</f>
        <v xml:space="preserve">landName="Genesee Park", </v>
      </c>
      <c r="O2" t="str">
        <f>K$1&amp;"="&amp;LOWER(K2)&amp;", "</f>
        <v xml:space="preserve">isNationalPark=false, </v>
      </c>
      <c r="P2" t="str">
        <f t="shared" ref="P2:Q5" si="0">L$1&amp;"="&amp;LOWER(L2)&amp;", "</f>
        <v xml:space="preserve">isStatePark=false, </v>
      </c>
      <c r="Q2" t="str">
        <f>M$1&amp;"="&amp;LOWER(M2)</f>
        <v>isNationalForest=false</v>
      </c>
      <c r="R2" s="38" t="str">
        <f>"new GovernedLand() { "&amp;CONCATENATE(N2,O2,P2,Q2)&amp;" },"</f>
        <v>new GovernedLand() { landName="Genesee Park", isNationalPark=false, isStatePark=false, isNationalForest=false },</v>
      </c>
    </row>
    <row r="3" spans="1:18">
      <c r="A3" s="31"/>
      <c r="B3" s="31"/>
      <c r="C3" s="31"/>
      <c r="D3" s="31"/>
      <c r="E3" s="31"/>
      <c r="F3" s="31"/>
      <c r="G3" s="31"/>
      <c r="H3" s="31"/>
      <c r="I3" s="31"/>
      <c r="J3" s="31" t="s">
        <v>133</v>
      </c>
      <c r="K3" t="b">
        <v>0</v>
      </c>
      <c r="L3" t="b">
        <v>0</v>
      </c>
      <c r="M3" t="b">
        <v>1</v>
      </c>
      <c r="N3" t="str">
        <f t="shared" ref="N3:N5" si="1">J$1&amp;"="""&amp;J3&amp;""", "</f>
        <v xml:space="preserve">landName="White River National Forest", </v>
      </c>
      <c r="O3" t="str">
        <f t="shared" ref="O3:O5" si="2">K$1&amp;"="&amp;LOWER(K3)&amp;", "</f>
        <v xml:space="preserve">isNationalPark=false, </v>
      </c>
      <c r="P3" t="str">
        <f t="shared" si="0"/>
        <v xml:space="preserve">isStatePark=false, </v>
      </c>
      <c r="Q3" t="str">
        <f t="shared" ref="Q3:Q5" si="3">M$1&amp;"="&amp;LOWER(M3)</f>
        <v>isNationalForest=true</v>
      </c>
      <c r="R3" s="38" t="str">
        <f t="shared" ref="R3:R5" si="4">"new GovernedLand() { "&amp;CONCATENATE(N3,O3,P3,Q3)&amp;" },"</f>
        <v>new GovernedLand() { landName="White River National Forest", isNationalPark=false, isStatePark=false, isNationalForest=true },</v>
      </c>
    </row>
    <row r="4" spans="1:18">
      <c r="A4" s="31"/>
      <c r="B4" s="31"/>
      <c r="C4" s="31"/>
      <c r="D4" s="31"/>
      <c r="E4" s="31"/>
      <c r="F4" s="31"/>
      <c r="G4" s="31"/>
      <c r="H4" s="31"/>
      <c r="I4" s="31"/>
      <c r="J4" s="31" t="s">
        <v>125</v>
      </c>
      <c r="K4" t="b">
        <v>0</v>
      </c>
      <c r="L4" t="b">
        <v>0</v>
      </c>
      <c r="M4" t="b">
        <v>1</v>
      </c>
      <c r="N4" t="str">
        <f t="shared" si="1"/>
        <v xml:space="preserve">landName="Arapaho National Forest", </v>
      </c>
      <c r="O4" t="str">
        <f t="shared" si="2"/>
        <v xml:space="preserve">isNationalPark=false, </v>
      </c>
      <c r="P4" t="str">
        <f t="shared" si="0"/>
        <v xml:space="preserve">isStatePark=false, </v>
      </c>
      <c r="Q4" t="str">
        <f t="shared" si="3"/>
        <v>isNationalForest=true</v>
      </c>
      <c r="R4" s="38" t="str">
        <f t="shared" si="4"/>
        <v>new GovernedLand() { landName="Arapaho National Forest", isNationalPark=false, isStatePark=false, isNationalForest=true },</v>
      </c>
    </row>
    <row r="5" spans="1:18">
      <c r="A5" s="31"/>
      <c r="B5" s="31"/>
      <c r="C5" s="31"/>
      <c r="D5" s="31"/>
      <c r="E5" s="31"/>
      <c r="F5" s="31"/>
      <c r="G5" s="31"/>
      <c r="H5" s="31"/>
      <c r="I5" s="31"/>
      <c r="J5" s="31" t="s">
        <v>125</v>
      </c>
      <c r="K5" t="b">
        <v>0</v>
      </c>
      <c r="L5" t="b">
        <v>0</v>
      </c>
      <c r="M5" t="b">
        <v>1</v>
      </c>
      <c r="N5" t="str">
        <f t="shared" si="1"/>
        <v xml:space="preserve">landName="Arapaho National Forest", </v>
      </c>
      <c r="O5" t="str">
        <f t="shared" si="2"/>
        <v xml:space="preserve">isNationalPark=false, </v>
      </c>
      <c r="P5" t="str">
        <f t="shared" si="0"/>
        <v xml:space="preserve">isStatePark=false, </v>
      </c>
      <c r="Q5" t="str">
        <f t="shared" si="3"/>
        <v>isNationalForest=true</v>
      </c>
      <c r="R5" s="38" t="str">
        <f t="shared" si="4"/>
        <v>new GovernedLand() { landName="Arapaho National Forest", isNationalPark=false, isStatePark=false, isNationalForest=true },</v>
      </c>
    </row>
    <row r="6" spans="1:18">
      <c r="A6" s="31"/>
      <c r="B6" s="31"/>
      <c r="C6" s="31"/>
      <c r="D6" s="31"/>
      <c r="E6" s="31"/>
      <c r="F6" s="31"/>
      <c r="G6" s="31"/>
      <c r="H6" s="31"/>
      <c r="I6" s="3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0B1E-E482-425B-AD1D-ABC31C4ACD8B}">
  <sheetPr>
    <tabColor theme="9" tint="0.39997558519241921"/>
  </sheetPr>
  <dimension ref="A1:AU6"/>
  <sheetViews>
    <sheetView tabSelected="1" workbookViewId="0"/>
  </sheetViews>
  <sheetFormatPr defaultRowHeight="13.2"/>
  <cols>
    <col min="2" max="14" width="7.88671875" customWidth="1"/>
  </cols>
  <sheetData>
    <row r="1" spans="1:47" ht="15.75" customHeight="1">
      <c r="A1" s="33" t="s">
        <v>37</v>
      </c>
      <c r="B1" s="33" t="s">
        <v>1379</v>
      </c>
      <c r="C1" s="33" t="s">
        <v>1377</v>
      </c>
      <c r="D1" s="33" t="s">
        <v>1378</v>
      </c>
      <c r="E1" s="33" t="s">
        <v>40</v>
      </c>
      <c r="F1" s="32" t="s">
        <v>1376</v>
      </c>
      <c r="G1" s="32" t="s">
        <v>51</v>
      </c>
      <c r="H1" s="37" t="s">
        <v>55</v>
      </c>
      <c r="I1" s="37" t="s">
        <v>59</v>
      </c>
      <c r="J1" s="37" t="s">
        <v>68</v>
      </c>
      <c r="K1" s="37" t="s">
        <v>76</v>
      </c>
      <c r="L1" s="33" t="s">
        <v>79</v>
      </c>
      <c r="M1" s="33" t="s">
        <v>84</v>
      </c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2"/>
      <c r="AB1" s="7"/>
      <c r="AC1" s="7"/>
      <c r="AD1" s="7"/>
      <c r="AE1" s="7"/>
      <c r="AF1" s="34" t="s">
        <v>4</v>
      </c>
      <c r="AG1" s="35" t="s">
        <v>11</v>
      </c>
      <c r="AH1" s="35" t="s">
        <v>12</v>
      </c>
      <c r="AI1" s="32" t="s">
        <v>13</v>
      </c>
      <c r="AJ1" s="32" t="s">
        <v>14</v>
      </c>
      <c r="AK1" s="32" t="s">
        <v>15</v>
      </c>
      <c r="AL1" s="32" t="s">
        <v>16</v>
      </c>
      <c r="AM1" s="7"/>
      <c r="AN1" s="7"/>
      <c r="AO1" s="7"/>
      <c r="AP1" s="7"/>
      <c r="AQ1" s="7"/>
      <c r="AR1" s="7"/>
      <c r="AS1" s="7"/>
      <c r="AT1" s="7"/>
      <c r="AU1" s="7"/>
    </row>
    <row r="2" spans="1:47" ht="15.75" customHeight="1">
      <c r="A2" s="31" t="s">
        <v>24</v>
      </c>
      <c r="B2" t="b">
        <v>0</v>
      </c>
      <c r="C2">
        <v>40.033386999999998</v>
      </c>
      <c r="D2">
        <v>-105.645056</v>
      </c>
      <c r="E2" s="31" t="s">
        <v>1380</v>
      </c>
      <c r="F2" s="30" t="str">
        <f>HYPERLINK("https://www.alltrails.com/trail/us/colorado/diamond-lake-trail","Diamond Lake Trail")</f>
        <v>Diamond Lake Trail</v>
      </c>
      <c r="G2" s="3"/>
      <c r="H2" s="3" t="b">
        <v>0</v>
      </c>
      <c r="I2" s="3" t="b">
        <v>1</v>
      </c>
      <c r="J2" s="3" t="b">
        <v>1</v>
      </c>
      <c r="K2" s="3" t="b">
        <v>1</v>
      </c>
      <c r="L2" s="11" t="s">
        <v>1370</v>
      </c>
      <c r="M2" s="30" t="str">
        <f ca="1">IFERROR(SUBSTITUTE(SUBSTITUTE(SUBSTITUTE(SUBSTITUTE(SUBSTITUTE(_xlfn.FORMULATEXT(F2),"=HYPERLINK(",""),F2,""),","""")",""),"""",""),"?ref=search",""),"")</f>
        <v>https://www.alltrails.com/trail/us/colorado/diamond-lake-trail</v>
      </c>
      <c r="N2" t="str">
        <f>A$1&amp;"=locations.Where(x =&gt; x.City + ', ' + x.State == """&amp;A2&amp;""").FirstOrDefault().locationId, "</f>
        <v xml:space="preserve">locationId=locations.Where(x =&gt; x.City + ', ' + x.State == "Nederland, CO").FirstOrDefault().locationId, </v>
      </c>
      <c r="O2" t="str">
        <f>IF(B2="","",B$1&amp;"="&amp;IF(OR(B2=FALSE,B2=TRUE),LOWER(B2),B2)&amp;", ")</f>
        <v xml:space="preserve">activityInTown=false, </v>
      </c>
      <c r="P2" t="str">
        <f>IF(C2="","",C$1&amp;"="&amp;IF(OR(C2=FALSE,C2=TRUE),LOWER(C2),C2)&amp;", ")</f>
        <v xml:space="preserve">activityLatitude=40.033387, </v>
      </c>
      <c r="Q2" t="str">
        <f>IF(D2="","",D$1&amp;"="&amp;IF(OR(D2=FALSE,D2=TRUE),LOWER(D2),D2)&amp;", ")</f>
        <v xml:space="preserve">activityLongitude=-105.645056, </v>
      </c>
      <c r="R2" t="str">
        <f>IF(E2="","",E$1&amp;"="""&amp;IF(OR(E2=FALSE,E2=TRUE),LOWER(E2),E2)&amp;""", ")</f>
        <v xml:space="preserve">activityType="Trail", </v>
      </c>
      <c r="S2" t="str">
        <f>IF(F2="","",F$1&amp;"="""&amp;IF(OR(F2=FALSE,F2=TRUE),LOWER(F2),F2)&amp;""", ")</f>
        <v xml:space="preserve">activityName="Diamond Lake Trail", </v>
      </c>
      <c r="T2" t="str">
        <f>IF(G2="","",G$1&amp;"="""&amp;IF(OR(G2=FALSE,G2=TRUE),LOWER(G2),G2)&amp;""", ")</f>
        <v/>
      </c>
      <c r="U2" t="str">
        <f t="shared" ref="U2:X6" si="0">IF(H2="","",H$1&amp;"="&amp;IF(OR(H2=FALSE,H2=TRUE),LOWER(H2),H2)&amp;", ")</f>
        <v xml:space="preserve">activityWinter=false, </v>
      </c>
      <c r="V2" t="str">
        <f t="shared" si="0"/>
        <v xml:space="preserve">activitySpring=true, </v>
      </c>
      <c r="W2" t="str">
        <f t="shared" si="0"/>
        <v xml:space="preserve">activitySummer=true, </v>
      </c>
      <c r="X2" t="str">
        <f t="shared" si="0"/>
        <v xml:space="preserve">activityFall=true, </v>
      </c>
      <c r="Y2" t="str">
        <f>IF(L2="","",L$1&amp;"="""&amp;IF(OR(L2=FALSE,L2=TRUE),LOWER(L2),L2)&amp;""", ")</f>
        <v xml:space="preserve">activitySiteName="AllTrails", </v>
      </c>
      <c r="Z2" t="str">
        <f ca="1">IF(M2="","",M$1&amp;"="""&amp;IF(OR(M2=FALSE,M2=TRUE),LOWER(M2),M2)&amp;"""")</f>
        <v>activitySiteURL="https://www.alltrails.com/trail/us/colorado/diamond-lake-trail"</v>
      </c>
      <c r="AA2" s="38" t="str">
        <f ca="1">"new ActivityDetail() { "&amp;CONCATENATE(N2,O2,P2,Q2,R2,S2,T2,U2,V2,W2,X2,Y2,Z2)&amp;" },"</f>
        <v>new ActivityDetail() { locationId=locations.Where(x =&gt; x.City + ', ' + x.State == "Nederland, CO").FirstOrDefault().locationId, activityInTown=false, activityLatitude=40.033387, activityLongitude=-105.645056, activityType="Trail", activityName="Diamond Lake Trail", activityWinter=false, activitySpring=true, activitySummer=true, activityFall=true, activitySiteName="AllTrails", activitySiteURL="https://www.alltrails.com/trail/us/colorado/diamond-lake-trail" },</v>
      </c>
      <c r="AF2" s="11">
        <v>5.7</v>
      </c>
      <c r="AG2" s="12">
        <v>1240</v>
      </c>
      <c r="AH2" s="12">
        <v>10962</v>
      </c>
      <c r="AI2" s="3">
        <v>1.75</v>
      </c>
      <c r="AJ2" s="3">
        <v>4</v>
      </c>
      <c r="AK2" s="3" t="s">
        <v>28</v>
      </c>
      <c r="AL2" s="3" t="s">
        <v>29</v>
      </c>
    </row>
    <row r="3" spans="1:47" ht="15.75" customHeight="1">
      <c r="A3" s="31" t="s">
        <v>20</v>
      </c>
      <c r="B3" t="b">
        <v>0</v>
      </c>
      <c r="C3">
        <v>39.58916</v>
      </c>
      <c r="D3">
        <v>-107.19043000000001</v>
      </c>
      <c r="E3" s="31" t="s">
        <v>1380</v>
      </c>
      <c r="F3" s="10" t="str">
        <f>HYPERLINK("https://www.alltrails.com/trail/us/colorado/hanging-lake?ref=search","Hanging Lake Trail")</f>
        <v>Hanging Lake Trail</v>
      </c>
      <c r="H3" s="3" t="b">
        <v>0</v>
      </c>
      <c r="I3" s="3" t="b">
        <v>1</v>
      </c>
      <c r="J3" s="3" t="b">
        <v>1</v>
      </c>
      <c r="K3" s="3" t="b">
        <v>1</v>
      </c>
      <c r="L3" s="11" t="s">
        <v>1370</v>
      </c>
      <c r="M3" s="30" t="str">
        <f t="shared" ref="M3:M6" ca="1" si="1">IFERROR(SUBSTITUTE(SUBSTITUTE(SUBSTITUTE(SUBSTITUTE(SUBSTITUTE(_xlfn.FORMULATEXT(F3),"=HYPERLINK(",""),F3,""),","""")",""),"""",""),"?ref=search",""),"")</f>
        <v>https://www.alltrails.com/trail/us/colorado/hanging-lake</v>
      </c>
      <c r="N3" t="str">
        <f t="shared" ref="N3:N6" si="2">A$1&amp;"=locations.Where(x =&gt; x.City + ', ' + x.State == """&amp;A3&amp;""").FirstOrDefault().locationId, "</f>
        <v xml:space="preserve">locationId=locations.Where(x =&gt; x.City + ', ' + x.State == "Glenwood Springs, CO").FirstOrDefault().locationId, </v>
      </c>
      <c r="O3" t="str">
        <f t="shared" ref="O3:O6" si="3">IF(B3="","",B$1&amp;"="&amp;IF(OR(B3=FALSE,B3=TRUE),LOWER(B3),B3)&amp;", ")</f>
        <v xml:space="preserve">activityInTown=false, </v>
      </c>
      <c r="P3" t="str">
        <f t="shared" ref="P3:P6" si="4">IF(C3="","",C$1&amp;"="&amp;IF(OR(C3=FALSE,C3=TRUE),LOWER(C3),C3)&amp;", ")</f>
        <v xml:space="preserve">activityLatitude=39.58916, </v>
      </c>
      <c r="Q3" t="str">
        <f t="shared" ref="Q3:Q6" si="5">IF(D3="","",D$1&amp;"="&amp;IF(OR(D3=FALSE,D3=TRUE),LOWER(D3),D3)&amp;", ")</f>
        <v xml:space="preserve">activityLongitude=-107.19043, </v>
      </c>
      <c r="R3" t="str">
        <f>IF(E3="","",E$1&amp;"="""&amp;IF(OR(E3=FALSE,E3=TRUE),LOWER(E3),E3)&amp;""", ")</f>
        <v xml:space="preserve">activityType="Trail", </v>
      </c>
      <c r="S3" t="str">
        <f>IF(F3="","",F$1&amp;"="""&amp;IF(OR(F3=FALSE,F3=TRUE),LOWER(F3),F3)&amp;""", ")</f>
        <v xml:space="preserve">activityName="Hanging Lake Trail", </v>
      </c>
      <c r="T3" t="str">
        <f>IF(G3="","",G$1&amp;"="""&amp;IF(OR(G3=FALSE,G3=TRUE),LOWER(G3),G3)&amp;""", ")</f>
        <v/>
      </c>
      <c r="U3" t="str">
        <f t="shared" si="0"/>
        <v xml:space="preserve">activityWinter=false, </v>
      </c>
      <c r="V3" t="str">
        <f t="shared" si="0"/>
        <v xml:space="preserve">activitySpring=true, </v>
      </c>
      <c r="W3" t="str">
        <f t="shared" si="0"/>
        <v xml:space="preserve">activitySummer=true, </v>
      </c>
      <c r="X3" t="str">
        <f t="shared" si="0"/>
        <v xml:space="preserve">activityFall=true, </v>
      </c>
      <c r="Y3" t="str">
        <f>IF(L3="","",L$1&amp;"="""&amp;IF(OR(L3=FALSE,L3=TRUE),LOWER(L3),L3)&amp;""", ")</f>
        <v xml:space="preserve">activitySiteName="AllTrails", </v>
      </c>
      <c r="Z3" t="str">
        <f t="shared" ref="Z3:Z6" ca="1" si="6">IF(M3="","",M$1&amp;"="""&amp;IF(OR(M3=FALSE,M3=TRUE),LOWER(M3),M3)&amp;"""")</f>
        <v>activitySiteURL="https://www.alltrails.com/trail/us/colorado/hanging-lake"</v>
      </c>
      <c r="AA3" s="38" t="str">
        <f t="shared" ref="AA3:AA6" ca="1" si="7">"new ActivityDetail() { "&amp;CONCATENATE(N3,O3,P3,Q3,R3,S3,T3,U3,V3,W3,X3,Y3,Z3)&amp;" },"</f>
        <v>new ActivityDetail() { locationId=locations.Where(x =&gt; x.City + ', ' + x.State == "Glenwood Springs, CO").FirstOrDefault().locationId, activityInTown=false, activityLatitude=39.58916, activityLongitude=-107.19043, activityType="Trail", activityName="Hanging Lake Trail", activityWinter=false, activitySpring=true, activitySummer=true, activityFall=true, activitySiteName="AllTrails", activitySiteURL="https://www.alltrails.com/trail/us/colorado/hanging-lake" },</v>
      </c>
      <c r="AF3" s="11">
        <v>2.8</v>
      </c>
      <c r="AG3" s="12">
        <v>1207</v>
      </c>
      <c r="AH3" s="12">
        <v>7292</v>
      </c>
      <c r="AI3" s="3">
        <v>3</v>
      </c>
      <c r="AJ3" s="3">
        <v>4</v>
      </c>
      <c r="AK3" s="3" t="s">
        <v>36</v>
      </c>
      <c r="AL3" s="3" t="s">
        <v>29</v>
      </c>
    </row>
    <row r="4" spans="1:47" ht="15.75" customHeight="1">
      <c r="A4" s="31" t="s">
        <v>19</v>
      </c>
      <c r="B4" t="b">
        <v>0</v>
      </c>
      <c r="C4">
        <v>39.582659999999997</v>
      </c>
      <c r="D4">
        <v>-105.3608</v>
      </c>
      <c r="E4" s="31" t="s">
        <v>1380</v>
      </c>
      <c r="F4" s="10" t="str">
        <f>HYPERLINK("https://www.alltrails.com/trail/us/colorado/maxwell-falls-lower-trail?ref=search","Maxwell Falls Trail")</f>
        <v>Maxwell Falls Trail</v>
      </c>
      <c r="G4" s="3"/>
      <c r="H4" s="3" t="b">
        <v>1</v>
      </c>
      <c r="I4" s="3" t="b">
        <v>1</v>
      </c>
      <c r="J4" s="3" t="b">
        <v>1</v>
      </c>
      <c r="K4" s="3" t="b">
        <v>1</v>
      </c>
      <c r="L4" s="11" t="s">
        <v>1370</v>
      </c>
      <c r="M4" s="30" t="str">
        <f t="shared" ca="1" si="1"/>
        <v>https://www.alltrails.com/trail/us/colorado/maxwell-falls-lower-trail</v>
      </c>
      <c r="N4" t="str">
        <f t="shared" si="2"/>
        <v xml:space="preserve">locationId=locations.Where(x =&gt; x.City + ', ' + x.State == "Evergreen, CO").FirstOrDefault().locationId, </v>
      </c>
      <c r="O4" t="str">
        <f t="shared" si="3"/>
        <v xml:space="preserve">activityInTown=false, </v>
      </c>
      <c r="P4" t="str">
        <f t="shared" si="4"/>
        <v xml:space="preserve">activityLatitude=39.58266, </v>
      </c>
      <c r="Q4" t="str">
        <f t="shared" si="5"/>
        <v xml:space="preserve">activityLongitude=-105.3608, </v>
      </c>
      <c r="R4" t="str">
        <f>IF(E4="","",E$1&amp;"="""&amp;IF(OR(E4=FALSE,E4=TRUE),LOWER(E4),E4)&amp;""", ")</f>
        <v xml:space="preserve">activityType="Trail", </v>
      </c>
      <c r="S4" t="str">
        <f>IF(F4="","",F$1&amp;"="""&amp;IF(OR(F4=FALSE,F4=TRUE),LOWER(F4),F4)&amp;""", ")</f>
        <v xml:space="preserve">activityName="Maxwell Falls Trail", </v>
      </c>
      <c r="T4" t="str">
        <f>IF(G4="","",G$1&amp;"="""&amp;IF(OR(G4=FALSE,G4=TRUE),LOWER(G4),G4)&amp;""", ")</f>
        <v/>
      </c>
      <c r="U4" t="str">
        <f t="shared" si="0"/>
        <v xml:space="preserve">activityWinter=true, </v>
      </c>
      <c r="V4" t="str">
        <f t="shared" si="0"/>
        <v xml:space="preserve">activitySpring=true, </v>
      </c>
      <c r="W4" t="str">
        <f t="shared" si="0"/>
        <v xml:space="preserve">activitySummer=true, </v>
      </c>
      <c r="X4" t="str">
        <f t="shared" si="0"/>
        <v xml:space="preserve">activityFall=true, </v>
      </c>
      <c r="Y4" t="str">
        <f>IF(L4="","",L$1&amp;"="""&amp;IF(OR(L4=FALSE,L4=TRUE),LOWER(L4),L4)&amp;""", ")</f>
        <v xml:space="preserve">activitySiteName="AllTrails", </v>
      </c>
      <c r="Z4" t="str">
        <f t="shared" ca="1" si="6"/>
        <v>activitySiteURL="https://www.alltrails.com/trail/us/colorado/maxwell-falls-lower-trail"</v>
      </c>
      <c r="AA4" s="38" t="str">
        <f t="shared" ca="1" si="7"/>
        <v>new ActivityDetail() { locationId=locations.Where(x =&gt; x.City + ', ' + x.State == "Evergreen, CO").FirstOrDefault().locationId, activityInTown=false, activityLatitude=39.58266, activityLongitude=-105.3608, activityType="Trail", activityName="Maxwell Falls Trail", activityWinter=true, activitySpring=true, activitySummer=true, activityFall=true, activitySiteName="AllTrails", activitySiteURL="https://www.alltrails.com/trail/us/colorado/maxwell-falls-lower-trail" },</v>
      </c>
      <c r="AF4" s="11">
        <v>4.2</v>
      </c>
      <c r="AG4" s="12">
        <v>875</v>
      </c>
      <c r="AH4" s="12">
        <v>8412</v>
      </c>
      <c r="AI4" s="3">
        <v>1</v>
      </c>
      <c r="AJ4" s="3">
        <v>3</v>
      </c>
      <c r="AK4" s="3"/>
      <c r="AL4" s="3" t="s">
        <v>29</v>
      </c>
    </row>
    <row r="5" spans="1:47" ht="15.75" customHeight="1">
      <c r="A5" s="31" t="s">
        <v>19</v>
      </c>
      <c r="B5" t="b">
        <v>0</v>
      </c>
      <c r="C5">
        <v>39.715649999999997</v>
      </c>
      <c r="D5">
        <v>-105.30931</v>
      </c>
      <c r="E5" s="31" t="s">
        <v>1380</v>
      </c>
      <c r="F5" s="10" t="str">
        <f>HYPERLINK("https://www.alltrails.com/trail/us/colorado/beaver-brook-chavez-trail-loop?ref=search","Beaver Brook and Chavez Trail Loop")</f>
        <v>Beaver Brook and Chavez Trail Loop</v>
      </c>
      <c r="G5" s="3"/>
      <c r="H5" s="3" t="b">
        <v>1</v>
      </c>
      <c r="I5" s="3" t="b">
        <v>1</v>
      </c>
      <c r="J5" s="3" t="b">
        <v>1</v>
      </c>
      <c r="K5" s="3" t="b">
        <v>1</v>
      </c>
      <c r="L5" s="11" t="s">
        <v>1370</v>
      </c>
      <c r="M5" s="30" t="str">
        <f t="shared" ca="1" si="1"/>
        <v>https://www.alltrails.com/trail/us/colorado/beaver-brook-chavez-trail-loop</v>
      </c>
      <c r="N5" t="str">
        <f t="shared" si="2"/>
        <v xml:space="preserve">locationId=locations.Where(x =&gt; x.City + ', ' + x.State == "Evergreen, CO").FirstOrDefault().locationId, </v>
      </c>
      <c r="O5" t="str">
        <f t="shared" si="3"/>
        <v xml:space="preserve">activityInTown=false, </v>
      </c>
      <c r="P5" t="str">
        <f t="shared" si="4"/>
        <v xml:space="preserve">activityLatitude=39.71565, </v>
      </c>
      <c r="Q5" t="str">
        <f t="shared" si="5"/>
        <v xml:space="preserve">activityLongitude=-105.30931, </v>
      </c>
      <c r="R5" t="str">
        <f>IF(E5="","",E$1&amp;"="""&amp;IF(OR(E5=FALSE,E5=TRUE),LOWER(E5),E5)&amp;""", ")</f>
        <v xml:space="preserve">activityType="Trail", </v>
      </c>
      <c r="S5" t="str">
        <f>IF(F5="","",F$1&amp;"="""&amp;IF(OR(F5=FALSE,F5=TRUE),LOWER(F5),F5)&amp;""", ")</f>
        <v xml:space="preserve">activityName="Beaver Brook and Chavez Trail Loop", </v>
      </c>
      <c r="T5" t="str">
        <f>IF(G5="","",G$1&amp;"="""&amp;IF(OR(G5=FALSE,G5=TRUE),LOWER(G5),G5)&amp;""", ")</f>
        <v/>
      </c>
      <c r="U5" t="str">
        <f t="shared" si="0"/>
        <v xml:space="preserve">activityWinter=true, </v>
      </c>
      <c r="V5" t="str">
        <f t="shared" si="0"/>
        <v xml:space="preserve">activitySpring=true, </v>
      </c>
      <c r="W5" t="str">
        <f t="shared" si="0"/>
        <v xml:space="preserve">activitySummer=true, </v>
      </c>
      <c r="X5" t="str">
        <f t="shared" si="0"/>
        <v xml:space="preserve">activityFall=true, </v>
      </c>
      <c r="Y5" t="str">
        <f>IF(L5="","",L$1&amp;"="""&amp;IF(OR(L5=FALSE,L5=TRUE),LOWER(L5),L5)&amp;""", ")</f>
        <v xml:space="preserve">activitySiteName="AllTrails", </v>
      </c>
      <c r="Z5" t="str">
        <f t="shared" ca="1" si="6"/>
        <v>activitySiteURL="https://www.alltrails.com/trail/us/colorado/beaver-brook-chavez-trail-loop"</v>
      </c>
      <c r="AA5" s="38" t="str">
        <f t="shared" ca="1" si="7"/>
        <v>new ActivityDetail() { locationId=locations.Where(x =&gt; x.City + ', ' + x.State == "Evergreen, CO").FirstOrDefault().locationId, activityInTown=false, activityLatitude=39.71565, activityLongitude=-105.30931, activityType="Trail", activityName="Beaver Brook and Chavez Trail Loop", activityWinter=true, activitySpring=true, activitySummer=true, activityFall=true, activitySiteName="AllTrails", activitySiteURL="https://www.alltrails.com/trail/us/colorado/beaver-brook-chavez-trail-loop" },</v>
      </c>
      <c r="AF5" s="11">
        <v>5.0999999999999996</v>
      </c>
      <c r="AG5" s="12">
        <v>1105</v>
      </c>
      <c r="AH5" s="12">
        <v>7583</v>
      </c>
      <c r="AI5" s="3">
        <v>0.5</v>
      </c>
      <c r="AJ5" s="3">
        <v>2</v>
      </c>
      <c r="AK5" s="3" t="s">
        <v>61</v>
      </c>
      <c r="AL5" s="3" t="s">
        <v>62</v>
      </c>
    </row>
    <row r="6" spans="1:47" ht="15.75" customHeight="1">
      <c r="A6" s="31" t="s">
        <v>21</v>
      </c>
      <c r="B6" t="b">
        <v>0</v>
      </c>
      <c r="C6">
        <v>39.826949999999997</v>
      </c>
      <c r="D6">
        <v>-105.6434</v>
      </c>
      <c r="E6" s="31" t="s">
        <v>1380</v>
      </c>
      <c r="F6" s="10" t="str">
        <f>HYPERLINK("https://www.alltrails.com/trail/us/colorado/st-mary-s-glacier?ref=search","Saint Mary's Glacier")</f>
        <v>Saint Mary's Glacier</v>
      </c>
      <c r="G6" s="36" t="s">
        <v>1381</v>
      </c>
      <c r="H6" s="3" t="b">
        <v>1</v>
      </c>
      <c r="I6" s="3" t="b">
        <v>1</v>
      </c>
      <c r="J6" s="3" t="b">
        <v>1</v>
      </c>
      <c r="K6" s="3" t="b">
        <v>1</v>
      </c>
      <c r="L6" s="11" t="s">
        <v>1370</v>
      </c>
      <c r="M6" s="30" t="str">
        <f t="shared" ca="1" si="1"/>
        <v>https://www.alltrails.com/trail/us/colorado/st-mary-s-glacier</v>
      </c>
      <c r="N6" t="str">
        <f t="shared" si="2"/>
        <v xml:space="preserve">locationId=locations.Where(x =&gt; x.City + ', ' + x.State == "Idaho Springs, CO").FirstOrDefault().locationId, </v>
      </c>
      <c r="O6" t="str">
        <f t="shared" si="3"/>
        <v xml:space="preserve">activityInTown=false, </v>
      </c>
      <c r="P6" t="str">
        <f t="shared" si="4"/>
        <v xml:space="preserve">activityLatitude=39.82695, </v>
      </c>
      <c r="Q6" t="str">
        <f t="shared" si="5"/>
        <v xml:space="preserve">activityLongitude=-105.6434, </v>
      </c>
      <c r="R6" t="str">
        <f>IF(E6="","",E$1&amp;"="""&amp;IF(OR(E6=FALSE,E6=TRUE),LOWER(E6),E6)&amp;""", ")</f>
        <v xml:space="preserve">activityType="Trail", </v>
      </c>
      <c r="S6" t="str">
        <f>IF(F6="","",F$1&amp;"="""&amp;IF(OR(F6=FALSE,F6=TRUE),LOWER(F6),F6)&amp;""", ")</f>
        <v xml:space="preserve">activityName="Saint Mary's Glacier", </v>
      </c>
      <c r="T6" t="str">
        <f>IF(G6="","",G$1&amp;"="""&amp;IF(OR(G6=FALSE,G6=TRUE),LOWER(G6),G6)&amp;""", ")</f>
        <v xml:space="preserve">activityNotes="Pay $5 cash to park.", </v>
      </c>
      <c r="U6" t="str">
        <f t="shared" si="0"/>
        <v xml:space="preserve">activityWinter=true, </v>
      </c>
      <c r="V6" t="str">
        <f t="shared" si="0"/>
        <v xml:space="preserve">activitySpring=true, </v>
      </c>
      <c r="W6" t="str">
        <f t="shared" si="0"/>
        <v xml:space="preserve">activitySummer=true, </v>
      </c>
      <c r="X6" t="str">
        <f t="shared" si="0"/>
        <v xml:space="preserve">activityFall=true, </v>
      </c>
      <c r="Y6" t="str">
        <f>IF(L6="","",L$1&amp;"="""&amp;IF(OR(L6=FALSE,L6=TRUE),LOWER(L6),L6)&amp;""", ")</f>
        <v xml:space="preserve">activitySiteName="AllTrails", </v>
      </c>
      <c r="Z6" t="str">
        <f t="shared" ca="1" si="6"/>
        <v>activitySiteURL="https://www.alltrails.com/trail/us/colorado/st-mary-s-glacier"</v>
      </c>
      <c r="AA6" s="38" t="str">
        <f t="shared" ca="1" si="7"/>
        <v>new ActivityDetail() { locationId=locations.Where(x =&gt; x.City + ', ' + x.State == "Idaho Springs, CO").FirstOrDefault().locationId, activityInTown=false, activityLatitude=39.82695, activityLongitude=-105.6434, activityType="Trail", activityName="Saint Mary's Glacier", activityNotes="Pay $5 cash to park.", activityWinter=true, activitySpring=true, activitySummer=true, activityFall=true, activitySiteName="AllTrails", activitySiteURL="https://www.alltrails.com/trail/us/colorado/st-mary-s-glacier" },</v>
      </c>
      <c r="AF6" s="11">
        <v>1.9</v>
      </c>
      <c r="AG6" s="12">
        <v>807</v>
      </c>
      <c r="AH6" s="12">
        <v>11202</v>
      </c>
      <c r="AI6" s="3">
        <v>1</v>
      </c>
      <c r="AJ6" s="3">
        <v>3</v>
      </c>
      <c r="AK6" s="3" t="s">
        <v>63</v>
      </c>
      <c r="AL6" s="3" t="s">
        <v>29</v>
      </c>
    </row>
  </sheetData>
  <autoFilter ref="A1:AL1" xr:uid="{A970141A-D5F2-4E02-B52E-6C104935AD2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17CA8-65EA-426A-8926-D4F944C5A0A3}">
  <sheetPr>
    <tabColor theme="9" tint="0.39997558519241921"/>
  </sheetPr>
  <dimension ref="A1:Y6"/>
  <sheetViews>
    <sheetView workbookViewId="0"/>
  </sheetViews>
  <sheetFormatPr defaultRowHeight="13.2"/>
  <cols>
    <col min="13" max="13" width="7.21875" customWidth="1"/>
  </cols>
  <sheetData>
    <row r="1" spans="1:25">
      <c r="A1" s="31" t="s">
        <v>33</v>
      </c>
      <c r="B1" s="31" t="s">
        <v>43</v>
      </c>
      <c r="C1" s="31" t="s">
        <v>46</v>
      </c>
      <c r="D1" s="31" t="s">
        <v>50</v>
      </c>
      <c r="E1" s="31" t="s">
        <v>52</v>
      </c>
      <c r="F1" s="31" t="s">
        <v>57</v>
      </c>
      <c r="G1" s="31" t="s">
        <v>60</v>
      </c>
      <c r="H1" s="31" t="s">
        <v>72</v>
      </c>
      <c r="I1" s="31" t="s">
        <v>77</v>
      </c>
      <c r="J1" s="31" t="s">
        <v>80</v>
      </c>
      <c r="K1" s="31" t="s">
        <v>85</v>
      </c>
      <c r="L1" s="31" t="s">
        <v>89</v>
      </c>
    </row>
    <row r="2" spans="1:25">
      <c r="A2" s="30" t="str">
        <f>HYPERLINK("https://www.alltrails.com/trail/us/colorado/diamond-lake-trail","Diamond Lake Trail")</f>
        <v>Diamond Lake Trail</v>
      </c>
      <c r="B2" s="31" t="s">
        <v>1382</v>
      </c>
      <c r="C2" s="31" t="s">
        <v>1383</v>
      </c>
      <c r="D2" s="11">
        <v>5.7</v>
      </c>
      <c r="E2" s="12">
        <v>1240</v>
      </c>
      <c r="F2" s="12">
        <v>10962</v>
      </c>
      <c r="G2" s="3" t="s">
        <v>28</v>
      </c>
      <c r="H2" t="b">
        <v>1</v>
      </c>
      <c r="I2" t="b">
        <v>1</v>
      </c>
      <c r="J2" t="b">
        <v>0</v>
      </c>
      <c r="K2" t="b">
        <v>0</v>
      </c>
      <c r="L2" t="b">
        <v>1</v>
      </c>
      <c r="M2" t="str">
        <f>A$1&amp;"=activities.Where(x =&gt; x.activityName == """&amp;A2&amp;""").FirstOrDefault().activityId, "</f>
        <v xml:space="preserve">activityId=activities.Where(x =&gt; x.activityName == "Diamond Lake Trail").FirstOrDefault().activityId, </v>
      </c>
      <c r="N2" t="str">
        <f>B$1&amp;"=ranges.Where(x =&gt; x.rangeName == """&amp;B2&amp;""").FirstOrDefault().rangeId, "</f>
        <v xml:space="preserve">rangeId=ranges.Where(x =&gt; x.rangeName == "Front Range").FirstOrDefault().rangeId, </v>
      </c>
      <c r="O2" t="str">
        <f>C$1&amp;"=lands.Where(x =&gt; x.landName == """&amp;C2&amp;""").FirstOrDefault().landId, "</f>
        <v xml:space="preserve">landId=lands.Where(x =&gt; x.landName == "Genesee Park").FirstOrDefault().landId, </v>
      </c>
      <c r="P2" t="str">
        <f>IF(D2="","",D$1&amp;"="&amp;IF(OR(D2=FALSE,D2=TRUE),LOWER(D2),D2)&amp;", ")</f>
        <v xml:space="preserve">trailMiles=5.7, </v>
      </c>
      <c r="Q2" t="str">
        <f>IF(E2="","",E$1&amp;"="&amp;IF(OR(E2=FALSE,E2=TRUE),LOWER(E2),E2)&amp;", ")</f>
        <v xml:space="preserve">trailElevationMax=1240, </v>
      </c>
      <c r="R2" t="str">
        <f>IF(F2="","",F$1&amp;"="&amp;IF(OR(F2=FALSE,F2=TRUE),LOWER(F2),F2)&amp;", ")</f>
        <v xml:space="preserve">trailElevationGain=10962, </v>
      </c>
      <c r="S2" t="str">
        <f>IF(G2="","",G$1&amp;"="""&amp;IF(OR(G2=FALSE,G2=TRUE),LOWER(G2),G2)&amp;""", ")</f>
        <v xml:space="preserve">trailNotes="Best in spring for meadow flowers", </v>
      </c>
      <c r="T2" t="str">
        <f>IF(H2="","",H$1&amp;"="&amp;IF(OR(H2=FALSE,H2=TRUE),LOWER(H2),H2)&amp;", ")</f>
        <v xml:space="preserve">isHikeTrail=true, </v>
      </c>
      <c r="U2" t="str">
        <f>IF(I2="","",I$1&amp;"="&amp;IF(OR(I2=FALSE,I2=TRUE),LOWER(I2),I2)&amp;", ")</f>
        <v xml:space="preserve">isBackpackTrail=true, </v>
      </c>
      <c r="V2" t="str">
        <f>IF(J2="","",J$1&amp;"="&amp;IF(OR(J2=FALSE,J2=TRUE),LOWER(J2),J2)&amp;", ")</f>
        <v xml:space="preserve">isBikeTrail=false, </v>
      </c>
      <c r="W2" t="str">
        <f>IF(K2="","",K$1&amp;"="&amp;IF(OR(K2=FALSE,K2=TRUE),LOWER(K2),K2)&amp;", ")</f>
        <v xml:space="preserve">isSkiTrail=false, </v>
      </c>
      <c r="X2" t="str">
        <f>IF(L2="","",L$1&amp;"="&amp;IF(OR(L2=FALSE,L2=TRUE),LOWER(L2),L2))</f>
        <v>isVisitorTrail=true</v>
      </c>
      <c r="Y2" s="38" t="str">
        <f>"new ActivityDetail() { "&amp;CONCATENATE(M2,N2,O2,P2,Q2,R2,S2,T2,U2,V2,W2,X2)&amp;" },"</f>
        <v>new ActivityDetail() { activityId=activities.Where(x =&gt; x.activityName == "Diamond Lake Trail").FirstOrDefault().activityId, rangeId=ranges.Where(x =&gt; x.rangeName == "Front Range").FirstOrDefault().rangeId, landId=lands.Where(x =&gt; x.landName == "Genesee Park").FirstOrDefault().landId, trailMiles=5.7, trailElevationMax=1240, trailElevationGain=10962, trailNotes="Best in spring for meadow flowers", isHikeTrail=true, isBackpackTrail=true, isBikeTrail=false, isSkiTrail=false, isVisitorTrail=true },</v>
      </c>
    </row>
    <row r="3" spans="1:25">
      <c r="A3" s="10" t="str">
        <f>HYPERLINK("https://www.alltrails.com/trail/us/colorado/hanging-lake?ref=search","Hanging Lake Trail")</f>
        <v>Hanging Lake Trail</v>
      </c>
      <c r="B3" s="31"/>
      <c r="C3" s="31" t="s">
        <v>133</v>
      </c>
      <c r="D3" s="11">
        <v>2.8</v>
      </c>
      <c r="E3" s="12">
        <v>1207</v>
      </c>
      <c r="F3" s="12">
        <v>7292</v>
      </c>
      <c r="G3" s="3" t="s">
        <v>36</v>
      </c>
      <c r="H3" t="b">
        <v>1</v>
      </c>
      <c r="I3" t="b">
        <v>0</v>
      </c>
      <c r="J3" t="b">
        <v>0</v>
      </c>
      <c r="K3" t="b">
        <v>0</v>
      </c>
      <c r="L3" t="b">
        <v>1</v>
      </c>
      <c r="M3" t="str">
        <f t="shared" ref="M3:M6" si="0">A$1&amp;"=activities.Where(x =&gt; x.activityName == """&amp;A3&amp;""").FirstOrDefault().activityId, "</f>
        <v xml:space="preserve">activityId=activities.Where(x =&gt; x.activityName == "Hanging Lake Trail").FirstOrDefault().activityId, </v>
      </c>
      <c r="N3" t="str">
        <f t="shared" ref="N3:N6" si="1">B$1&amp;"=ranges.Where(x =&gt; x.rangeName == """&amp;B3&amp;""").FirstOrDefault().rangeId, "</f>
        <v xml:space="preserve">rangeId=ranges.Where(x =&gt; x.rangeName == "").FirstOrDefault().rangeId, </v>
      </c>
      <c r="O3" t="str">
        <f t="shared" ref="O3:O6" si="2">C$1&amp;"=lands.Where(x =&gt; x.landName == """&amp;C3&amp;""").FirstOrDefault().landId, "</f>
        <v xml:space="preserve">landId=lands.Where(x =&gt; x.landName == "White River National Forest").FirstOrDefault().landId, </v>
      </c>
      <c r="P3" t="str">
        <f t="shared" ref="P3:P6" si="3">IF(D3="","",D$1&amp;"="&amp;IF(OR(D3=FALSE,D3=TRUE),LOWER(D3),D3)&amp;", ")</f>
        <v xml:space="preserve">trailMiles=2.8, </v>
      </c>
      <c r="Q3" t="str">
        <f t="shared" ref="Q3:Q6" si="4">IF(E3="","",E$1&amp;"="&amp;IF(OR(E3=FALSE,E3=TRUE),LOWER(E3),E3)&amp;", ")</f>
        <v xml:space="preserve">trailElevationMax=1207, </v>
      </c>
      <c r="R3" t="str">
        <f t="shared" ref="R3:R6" si="5">IF(F3="","",F$1&amp;"="&amp;IF(OR(F3=FALSE,F3=TRUE),LOWER(F3),F3)&amp;", ")</f>
        <v xml:space="preserve">trailElevationGain=7292, </v>
      </c>
      <c r="S3" t="str">
        <f t="shared" ref="S3:S6" si="6">IF(G3="","",G$1&amp;"="""&amp;IF(OR(G3=FALSE,G3=TRUE),LOWER(G3),G3)&amp;""", ")</f>
        <v xml:space="preserve">trailNotes="Pretty, but crowded", </v>
      </c>
      <c r="T3" t="str">
        <f t="shared" ref="T3:T6" si="7">IF(H3="","",H$1&amp;"="&amp;IF(OR(H3=FALSE,H3=TRUE),LOWER(H3),H3)&amp;", ")</f>
        <v xml:space="preserve">isHikeTrail=true, </v>
      </c>
      <c r="U3" t="str">
        <f t="shared" ref="U3:U6" si="8">IF(I3="","",I$1&amp;"="&amp;IF(OR(I3=FALSE,I3=TRUE),LOWER(I3),I3)&amp;", ")</f>
        <v xml:space="preserve">isBackpackTrail=false, </v>
      </c>
      <c r="V3" t="str">
        <f t="shared" ref="V3:V6" si="9">IF(J3="","",J$1&amp;"="&amp;IF(OR(J3=FALSE,J3=TRUE),LOWER(J3),J3)&amp;", ")</f>
        <v xml:space="preserve">isBikeTrail=false, </v>
      </c>
      <c r="W3" t="str">
        <f t="shared" ref="W3:W6" si="10">IF(K3="","",K$1&amp;"="&amp;IF(OR(K3=FALSE,K3=TRUE),LOWER(K3),K3)&amp;", ")</f>
        <v xml:space="preserve">isSkiTrail=false, </v>
      </c>
      <c r="X3" t="str">
        <f t="shared" ref="X3:X6" si="11">IF(L3="","",L$1&amp;"="&amp;IF(OR(L3=FALSE,L3=TRUE),LOWER(L3),L3))</f>
        <v>isVisitorTrail=true</v>
      </c>
      <c r="Y3" s="38" t="str">
        <f t="shared" ref="Y3:Y6" si="12">"new ActivityDetail() { "&amp;CONCATENATE(M3,N3,O3,P3,Q3,R3,S3,T3,U3,V3,W3,X3)&amp;" },"</f>
        <v>new ActivityDetail() { activityId=activities.Where(x =&gt; x.activityName == "Hanging Lake Trail").FirstOrDefault().activityId, rangeId=ranges.Where(x =&gt; x.rangeName == "").FirstOrDefault().rangeId, landId=lands.Where(x =&gt; x.landName == "White River National Forest").FirstOrDefault().landId, trailMiles=2.8, trailElevationMax=1207, trailElevationGain=7292, trailNotes="Pretty, but crowded", isHikeTrail=true, isBackpackTrail=false, isBikeTrail=false, isSkiTrail=false, isVisitorTrail=true },</v>
      </c>
    </row>
    <row r="4" spans="1:25">
      <c r="A4" s="10" t="str">
        <f>HYPERLINK("https://www.alltrails.com/trail/us/colorado/maxwell-falls-lower-trail?ref=search","Maxwell Falls Trail")</f>
        <v>Maxwell Falls Trail</v>
      </c>
      <c r="B4" s="31" t="s">
        <v>1382</v>
      </c>
      <c r="C4" s="31" t="s">
        <v>125</v>
      </c>
      <c r="D4" s="11">
        <v>4.2</v>
      </c>
      <c r="E4" s="12">
        <v>875</v>
      </c>
      <c r="F4" s="12">
        <v>8412</v>
      </c>
      <c r="G4" s="3"/>
      <c r="H4" t="b">
        <v>1</v>
      </c>
      <c r="I4" t="b">
        <v>0</v>
      </c>
      <c r="J4" t="b">
        <v>0</v>
      </c>
      <c r="K4" t="b">
        <v>0</v>
      </c>
      <c r="L4" t="b">
        <v>1</v>
      </c>
      <c r="M4" t="str">
        <f t="shared" si="0"/>
        <v xml:space="preserve">activityId=activities.Where(x =&gt; x.activityName == "Maxwell Falls Trail").FirstOrDefault().activityId, </v>
      </c>
      <c r="N4" t="str">
        <f t="shared" si="1"/>
        <v xml:space="preserve">rangeId=ranges.Where(x =&gt; x.rangeName == "Front Range").FirstOrDefault().rangeId, </v>
      </c>
      <c r="O4" t="str">
        <f t="shared" si="2"/>
        <v xml:space="preserve">landId=lands.Where(x =&gt; x.landName == "Arapaho National Forest").FirstOrDefault().landId, </v>
      </c>
      <c r="P4" t="str">
        <f t="shared" si="3"/>
        <v xml:space="preserve">trailMiles=4.2, </v>
      </c>
      <c r="Q4" t="str">
        <f t="shared" si="4"/>
        <v xml:space="preserve">trailElevationMax=875, </v>
      </c>
      <c r="R4" t="str">
        <f t="shared" si="5"/>
        <v xml:space="preserve">trailElevationGain=8412, </v>
      </c>
      <c r="S4" t="str">
        <f t="shared" si="6"/>
        <v/>
      </c>
      <c r="T4" t="str">
        <f t="shared" si="7"/>
        <v xml:space="preserve">isHikeTrail=true, </v>
      </c>
      <c r="U4" t="str">
        <f t="shared" si="8"/>
        <v xml:space="preserve">isBackpackTrail=false, </v>
      </c>
      <c r="V4" t="str">
        <f t="shared" si="9"/>
        <v xml:space="preserve">isBikeTrail=false, </v>
      </c>
      <c r="W4" t="str">
        <f t="shared" si="10"/>
        <v xml:space="preserve">isSkiTrail=false, </v>
      </c>
      <c r="X4" t="str">
        <f t="shared" si="11"/>
        <v>isVisitorTrail=true</v>
      </c>
      <c r="Y4" s="38" t="str">
        <f t="shared" si="12"/>
        <v>new ActivityDetail() { activityId=activities.Where(x =&gt; x.activityName == "Maxwell Falls Trail").FirstOrDefault().activityId, rangeId=ranges.Where(x =&gt; x.rangeName == "Front Range").FirstOrDefault().rangeId, landId=lands.Where(x =&gt; x.landName == "Arapaho National Forest").FirstOrDefault().landId, trailMiles=4.2, trailElevationMax=875, trailElevationGain=8412, isHikeTrail=true, isBackpackTrail=false, isBikeTrail=false, isSkiTrail=false, isVisitorTrail=true },</v>
      </c>
    </row>
    <row r="5" spans="1:25">
      <c r="A5" s="10" t="str">
        <f>HYPERLINK("https://www.alltrails.com/trail/us/colorado/beaver-brook-chavez-trail-loop?ref=search","Beaver Brook and Chavez Trail Loop")</f>
        <v>Beaver Brook and Chavez Trail Loop</v>
      </c>
      <c r="B5" s="31" t="s">
        <v>1382</v>
      </c>
      <c r="C5" s="31" t="s">
        <v>1383</v>
      </c>
      <c r="D5" s="11">
        <v>5.0999999999999996</v>
      </c>
      <c r="E5" s="12">
        <v>1105</v>
      </c>
      <c r="F5" s="12">
        <v>7583</v>
      </c>
      <c r="G5" s="3" t="s">
        <v>61</v>
      </c>
      <c r="H5" t="b">
        <v>1</v>
      </c>
      <c r="I5" t="b">
        <v>0</v>
      </c>
      <c r="J5" t="b">
        <v>0</v>
      </c>
      <c r="K5" t="b">
        <v>0</v>
      </c>
      <c r="L5" t="b">
        <v>1</v>
      </c>
      <c r="M5" t="str">
        <f t="shared" si="0"/>
        <v xml:space="preserve">activityId=activities.Where(x =&gt; x.activityName == "Beaver Brook and Chavez Trail Loop").FirstOrDefault().activityId, </v>
      </c>
      <c r="N5" t="str">
        <f t="shared" si="1"/>
        <v xml:space="preserve">rangeId=ranges.Where(x =&gt; x.rangeName == "Front Range").FirstOrDefault().rangeId, </v>
      </c>
      <c r="O5" t="str">
        <f t="shared" si="2"/>
        <v xml:space="preserve">landId=lands.Where(x =&gt; x.landName == "Genesee Park").FirstOrDefault().landId, </v>
      </c>
      <c r="P5" t="str">
        <f t="shared" si="3"/>
        <v xml:space="preserve">trailMiles=5.1, </v>
      </c>
      <c r="Q5" t="str">
        <f t="shared" si="4"/>
        <v xml:space="preserve">trailElevationMax=1105, </v>
      </c>
      <c r="R5" t="str">
        <f t="shared" si="5"/>
        <v xml:space="preserve">trailElevationGain=7583, </v>
      </c>
      <c r="S5" t="str">
        <f t="shared" si="6"/>
        <v xml:space="preserve">trailNotes="Boring, but nice walk if mountains are snowy", </v>
      </c>
      <c r="T5" t="str">
        <f t="shared" si="7"/>
        <v xml:space="preserve">isHikeTrail=true, </v>
      </c>
      <c r="U5" t="str">
        <f t="shared" si="8"/>
        <v xml:space="preserve">isBackpackTrail=false, </v>
      </c>
      <c r="V5" t="str">
        <f t="shared" si="9"/>
        <v xml:space="preserve">isBikeTrail=false, </v>
      </c>
      <c r="W5" t="str">
        <f t="shared" si="10"/>
        <v xml:space="preserve">isSkiTrail=false, </v>
      </c>
      <c r="X5" t="str">
        <f t="shared" si="11"/>
        <v>isVisitorTrail=true</v>
      </c>
      <c r="Y5" s="38" t="str">
        <f t="shared" si="12"/>
        <v>new ActivityDetail() { activityId=activities.Where(x =&gt; x.activityName == "Beaver Brook and Chavez Trail Loop").FirstOrDefault().activityId, rangeId=ranges.Where(x =&gt; x.rangeName == "Front Range").FirstOrDefault().rangeId, landId=lands.Where(x =&gt; x.landName == "Genesee Park").FirstOrDefault().landId, trailMiles=5.1, trailElevationMax=1105, trailElevationGain=7583, trailNotes="Boring, but nice walk if mountains are snowy", isHikeTrail=true, isBackpackTrail=false, isBikeTrail=false, isSkiTrail=false, isVisitorTrail=true },</v>
      </c>
    </row>
    <row r="6" spans="1:25">
      <c r="A6" s="10" t="str">
        <f>HYPERLINK("https://www.alltrails.com/trail/us/colorado/st-mary-s-glacier?ref=search","Saint Mary's Glacier")</f>
        <v>Saint Mary's Glacier</v>
      </c>
      <c r="B6" s="31" t="s">
        <v>1382</v>
      </c>
      <c r="C6" s="31" t="s">
        <v>125</v>
      </c>
      <c r="D6" s="11">
        <v>1.9</v>
      </c>
      <c r="E6" s="12">
        <v>807</v>
      </c>
      <c r="F6" s="12">
        <v>11202</v>
      </c>
      <c r="G6" s="3" t="s">
        <v>63</v>
      </c>
      <c r="H6" t="b">
        <v>1</v>
      </c>
      <c r="I6" t="b">
        <v>0</v>
      </c>
      <c r="J6" t="b">
        <v>0</v>
      </c>
      <c r="K6" t="b">
        <v>1</v>
      </c>
      <c r="L6" t="b">
        <v>1</v>
      </c>
      <c r="M6" t="str">
        <f t="shared" si="0"/>
        <v xml:space="preserve">activityId=activities.Where(x =&gt; x.activityName == "Saint Mary's Glacier").FirstOrDefault().activityId, </v>
      </c>
      <c r="N6" t="str">
        <f t="shared" si="1"/>
        <v xml:space="preserve">rangeId=ranges.Where(x =&gt; x.rangeName == "Front Range").FirstOrDefault().rangeId, </v>
      </c>
      <c r="O6" t="str">
        <f t="shared" si="2"/>
        <v xml:space="preserve">landId=lands.Where(x =&gt; x.landName == "Arapaho National Forest").FirstOrDefault().landId, </v>
      </c>
      <c r="P6" t="str">
        <f t="shared" si="3"/>
        <v xml:space="preserve">trailMiles=1.9, </v>
      </c>
      <c r="Q6" t="str">
        <f t="shared" si="4"/>
        <v xml:space="preserve">trailElevationMax=807, </v>
      </c>
      <c r="R6" t="str">
        <f t="shared" si="5"/>
        <v xml:space="preserve">trailElevationGain=11202, </v>
      </c>
      <c r="S6" t="str">
        <f t="shared" si="6"/>
        <v xml:space="preserve">trailNotes="Pretty and short, but crowded", </v>
      </c>
      <c r="T6" t="str">
        <f t="shared" si="7"/>
        <v xml:space="preserve">isHikeTrail=true, </v>
      </c>
      <c r="U6" t="str">
        <f t="shared" si="8"/>
        <v xml:space="preserve">isBackpackTrail=false, </v>
      </c>
      <c r="V6" t="str">
        <f t="shared" si="9"/>
        <v xml:space="preserve">isBikeTrail=false, </v>
      </c>
      <c r="W6" t="str">
        <f t="shared" si="10"/>
        <v xml:space="preserve">isSkiTrail=true, </v>
      </c>
      <c r="X6" t="str">
        <f t="shared" si="11"/>
        <v>isVisitorTrail=true</v>
      </c>
      <c r="Y6" s="38" t="str">
        <f t="shared" si="12"/>
        <v>new ActivityDetail() { activityId=activities.Where(x =&gt; x.activityName == "Saint Mary's Glacier").FirstOrDefault().activityId, rangeId=ranges.Where(x =&gt; x.rangeName == "Front Range").FirstOrDefault().rangeId, landId=lands.Where(x =&gt; x.landName == "Arapaho National Forest").FirstOrDefault().landId, trailMiles=1.9, trailElevationMax=807, trailElevationGain=11202, trailNotes="Pretty and short, but crowded", isHikeTrail=true, isBackpackTrail=false, isBikeTrail=false, isSkiTrail=true, isVisitorTrail=true },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L978"/>
  <sheetViews>
    <sheetView zoomScale="90" zoomScaleNormal="90" workbookViewId="0">
      <pane ySplit="1" topLeftCell="A2" activePane="bottomLeft" state="frozen"/>
      <selection pane="bottomLeft" activeCell="E5" sqref="E5"/>
    </sheetView>
  </sheetViews>
  <sheetFormatPr defaultColWidth="14.44140625" defaultRowHeight="15.75" customHeight="1"/>
  <cols>
    <col min="2" max="2" width="15.6640625" customWidth="1"/>
    <col min="3" max="3" width="7.88671875" customWidth="1"/>
    <col min="4" max="4" width="31.33203125" customWidth="1"/>
    <col min="5" max="5" width="16.33203125" customWidth="1"/>
    <col min="6" max="6" width="17.33203125" customWidth="1"/>
    <col min="7" max="7" width="16.44140625" customWidth="1"/>
    <col min="8" max="8" width="13.5546875" customWidth="1"/>
    <col min="9" max="9" width="12.33203125" customWidth="1"/>
    <col min="10" max="10" width="34.6640625" customWidth="1"/>
    <col min="11" max="11" width="14.5546875" customWidth="1"/>
    <col min="12" max="12" width="37.109375" customWidth="1"/>
  </cols>
  <sheetData>
    <row r="1" spans="1:12" ht="15.75" customHeight="1">
      <c r="A1" s="2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5" t="s">
        <v>11</v>
      </c>
      <c r="G1" s="5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</row>
    <row r="2" spans="1:12" ht="15.75" customHeight="1">
      <c r="A2" s="8">
        <v>40391</v>
      </c>
      <c r="B2" s="8">
        <v>42995</v>
      </c>
      <c r="C2" s="3"/>
      <c r="D2" s="30" t="str">
        <f>HYPERLINK("https://www.alltrails.com/trail/us/colorado/diamond-lake-trail","Diamond Lake Trail")</f>
        <v>Diamond Lake Trail</v>
      </c>
      <c r="E2" s="11">
        <v>5.7</v>
      </c>
      <c r="F2" s="12">
        <v>1240</v>
      </c>
      <c r="G2" s="12">
        <v>10962</v>
      </c>
      <c r="H2" s="3">
        <v>1.75</v>
      </c>
      <c r="I2" s="3">
        <v>4</v>
      </c>
      <c r="J2" s="3" t="s">
        <v>28</v>
      </c>
      <c r="K2" s="3" t="s">
        <v>29</v>
      </c>
      <c r="L2" s="3"/>
    </row>
    <row r="3" spans="1:12" ht="15.75" customHeight="1">
      <c r="A3" s="8">
        <v>41518</v>
      </c>
      <c r="B3" s="8">
        <v>42875</v>
      </c>
      <c r="C3" s="3"/>
      <c r="D3" s="10" t="str">
        <f>HYPERLINK("https://www.alltrails.com/trail/us/colorado/hanging-lake?ref=search","Hanging Lake Trail")</f>
        <v>Hanging Lake Trail</v>
      </c>
      <c r="E3" s="11">
        <v>2.8</v>
      </c>
      <c r="F3" s="12">
        <v>1207</v>
      </c>
      <c r="G3" s="12">
        <v>7292</v>
      </c>
      <c r="H3" s="3">
        <v>3</v>
      </c>
      <c r="I3" s="3">
        <v>4</v>
      </c>
      <c r="J3" s="3" t="s">
        <v>36</v>
      </c>
      <c r="K3" s="3" t="s">
        <v>29</v>
      </c>
    </row>
    <row r="4" spans="1:12" ht="15.75" customHeight="1">
      <c r="A4" s="8">
        <v>41821</v>
      </c>
      <c r="B4" s="8">
        <v>42469</v>
      </c>
      <c r="C4" s="3"/>
      <c r="D4" s="10" t="str">
        <f>HYPERLINK("https://www.alltrails.com/trail/us/colorado/maxwell-falls-lower-trail?ref=search","Maxwell Falls Trail")</f>
        <v>Maxwell Falls Trail</v>
      </c>
      <c r="E4" s="11">
        <v>4.2</v>
      </c>
      <c r="F4" s="12">
        <v>875</v>
      </c>
      <c r="G4" s="12">
        <v>8412</v>
      </c>
      <c r="H4" s="3">
        <v>1</v>
      </c>
      <c r="I4" s="3">
        <v>3</v>
      </c>
      <c r="J4" s="3"/>
      <c r="K4" s="3" t="s">
        <v>29</v>
      </c>
      <c r="L4" s="3"/>
    </row>
    <row r="5" spans="1:12" ht="15.75" customHeight="1">
      <c r="A5" s="8">
        <v>41821</v>
      </c>
      <c r="B5" s="3"/>
      <c r="C5" s="3"/>
      <c r="D5" s="10" t="str">
        <f>HYPERLINK("https://www.alltrails.com/trail/us/colorado/beaver-brook-chavez-trail-loop?ref=search","Beaver Brook and Chavez Trail Loop")</f>
        <v>Beaver Brook and Chavez Trail Loop</v>
      </c>
      <c r="E5" s="11">
        <v>5.0999999999999996</v>
      </c>
      <c r="F5" s="12">
        <v>1105</v>
      </c>
      <c r="G5" s="12">
        <v>7583</v>
      </c>
      <c r="H5" s="3">
        <v>0.5</v>
      </c>
      <c r="I5" s="3">
        <v>2</v>
      </c>
      <c r="J5" s="3" t="s">
        <v>61</v>
      </c>
      <c r="K5" s="3" t="s">
        <v>62</v>
      </c>
      <c r="L5" s="3"/>
    </row>
    <row r="6" spans="1:12" ht="15.75" customHeight="1">
      <c r="A6" s="8">
        <v>42188</v>
      </c>
      <c r="B6" s="3"/>
      <c r="C6" s="3"/>
      <c r="D6" s="10" t="str">
        <f>HYPERLINK("https://www.alltrails.com/trail/us/colorado/st-mary-s-glacier?ref=search","Saint Mary's Glacier")</f>
        <v>Saint Mary's Glacier</v>
      </c>
      <c r="E6" s="11">
        <v>1.9</v>
      </c>
      <c r="F6" s="12">
        <v>807</v>
      </c>
      <c r="G6" s="12">
        <v>11202</v>
      </c>
      <c r="H6" s="3">
        <v>1</v>
      </c>
      <c r="I6" s="3">
        <v>3</v>
      </c>
      <c r="J6" s="3" t="s">
        <v>63</v>
      </c>
      <c r="K6" s="3" t="s">
        <v>29</v>
      </c>
      <c r="L6" s="3" t="s">
        <v>64</v>
      </c>
    </row>
    <row r="7" spans="1:12" ht="15.75" customHeight="1">
      <c r="A7" s="8">
        <v>42555</v>
      </c>
      <c r="B7" s="3"/>
      <c r="D7" s="10" t="str">
        <f>HYPERLINK("https://www.alltrails.com/trail/us/colorado/pikes-peak-from-the-crags-trail?ref=search","Pikes Peak (from Crags trail)")</f>
        <v>Pikes Peak (from Crags trail)</v>
      </c>
      <c r="E7" s="11">
        <v>12.6</v>
      </c>
      <c r="F7" s="12">
        <v>4468</v>
      </c>
      <c r="G7" s="12">
        <v>14101</v>
      </c>
      <c r="H7" s="3">
        <v>2.25</v>
      </c>
      <c r="I7" s="3">
        <v>3</v>
      </c>
      <c r="J7" s="3" t="s">
        <v>97</v>
      </c>
      <c r="L7" s="3" t="s">
        <v>98</v>
      </c>
    </row>
    <row r="8" spans="1:12" ht="15.75" customHeight="1">
      <c r="A8" s="8">
        <v>42561</v>
      </c>
      <c r="B8" s="3"/>
      <c r="D8" s="10" t="str">
        <f>HYPERLINK("https://www.alltrails.com/trail/us/colorado/heart-lake-via-rogers-pass-trail?ref=search","Heart and Roger Lakes")</f>
        <v>Heart and Roger Lakes</v>
      </c>
      <c r="E8" s="11">
        <v>9</v>
      </c>
      <c r="F8" s="12">
        <v>2680</v>
      </c>
      <c r="G8" s="12">
        <v>11674</v>
      </c>
      <c r="H8" s="3">
        <v>1.5</v>
      </c>
      <c r="I8" s="3">
        <v>5</v>
      </c>
    </row>
    <row r="9" spans="1:12" ht="15.75" customHeight="1">
      <c r="A9" s="8">
        <v>42614</v>
      </c>
      <c r="D9" s="10" t="str">
        <f>HYPERLINK("https://www.alltrails.com/trail/us/colorado/parmalee-trail-loop/photos","Parmalee Trail Loop")</f>
        <v>Parmalee Trail Loop</v>
      </c>
      <c r="E9" s="11">
        <v>3</v>
      </c>
      <c r="F9" s="12">
        <v>554</v>
      </c>
      <c r="G9" s="12">
        <v>7770</v>
      </c>
      <c r="H9" s="3">
        <v>0.75</v>
      </c>
      <c r="I9" s="3">
        <v>2</v>
      </c>
    </row>
    <row r="10" spans="1:12" ht="15.75" customHeight="1">
      <c r="A10" s="8">
        <v>42616</v>
      </c>
      <c r="B10" s="3"/>
      <c r="D10" s="10" t="str">
        <f>HYPERLINK("https://www.alltrails.com/trail/us/colorado/grays-and-torreys-peak?ref=search","Grays and Torreys")</f>
        <v>Grays and Torreys</v>
      </c>
      <c r="E10" s="11">
        <v>7.7</v>
      </c>
      <c r="F10" s="12">
        <v>3562</v>
      </c>
      <c r="G10" s="12">
        <v>14274</v>
      </c>
      <c r="H10" s="3">
        <v>1.5</v>
      </c>
      <c r="I10" s="3">
        <v>5</v>
      </c>
      <c r="J10" s="3" t="s">
        <v>107</v>
      </c>
      <c r="K10" s="3" t="s">
        <v>108</v>
      </c>
    </row>
    <row r="11" spans="1:12" ht="15.75" customHeight="1">
      <c r="A11" s="8">
        <v>42631</v>
      </c>
      <c r="B11" s="3"/>
      <c r="C11" s="3"/>
      <c r="D11" s="10" t="str">
        <f>HYPERLINK("https://www.alltrails.com/trail/us/colorado/blue-lake-and-little-blue-lake-via-mitchell-lake-trail?ref=search","Blue Lake")</f>
        <v>Blue Lake</v>
      </c>
      <c r="E11" s="11">
        <v>6.1</v>
      </c>
      <c r="F11" s="12">
        <v>1404</v>
      </c>
      <c r="G11" s="12">
        <v>11855</v>
      </c>
      <c r="H11" s="3">
        <v>1.5</v>
      </c>
      <c r="I11" s="3">
        <v>5</v>
      </c>
      <c r="J11" s="3" t="s">
        <v>115</v>
      </c>
      <c r="K11" s="3" t="s">
        <v>116</v>
      </c>
      <c r="L11" s="3" t="s">
        <v>117</v>
      </c>
    </row>
    <row r="12" spans="1:12" ht="15.75" customHeight="1">
      <c r="A12" s="8">
        <v>42638</v>
      </c>
      <c r="B12" s="3"/>
      <c r="D12" s="10" t="str">
        <f>HYPERLINK("https://www.alltrails.com/trail/us/colorado/steamboat-ski-resort-trail?ref=search","Steamboat Ski Resort Trail")</f>
        <v>Steamboat Ski Resort Trail</v>
      </c>
      <c r="E12" s="11">
        <v>6</v>
      </c>
      <c r="F12" s="12">
        <v>1679</v>
      </c>
      <c r="G12" s="12">
        <v>9068</v>
      </c>
      <c r="H12" s="3">
        <v>3</v>
      </c>
      <c r="I12" s="3">
        <v>3</v>
      </c>
      <c r="J12" s="3" t="s">
        <v>126</v>
      </c>
    </row>
    <row r="13" spans="1:12" ht="15.75" customHeight="1">
      <c r="A13" s="8">
        <v>42644</v>
      </c>
      <c r="B13" s="8">
        <v>42966</v>
      </c>
      <c r="D13" s="10" t="str">
        <f>HYPERLINK("https://www.alltrails.com/trail/us/colorado/upper-piney-river-falls-trail?ref=search","Piney River Ranch")</f>
        <v>Piney River Ranch</v>
      </c>
      <c r="E13" s="11">
        <v>5.9</v>
      </c>
      <c r="F13" s="12">
        <v>731</v>
      </c>
      <c r="G13" s="12">
        <v>9841</v>
      </c>
      <c r="H13" s="3">
        <v>2.5</v>
      </c>
      <c r="I13" s="3">
        <v>5</v>
      </c>
      <c r="J13" s="3" t="s">
        <v>131</v>
      </c>
      <c r="K13" s="3" t="s">
        <v>29</v>
      </c>
      <c r="L13" s="3" t="s">
        <v>132</v>
      </c>
    </row>
    <row r="14" spans="1:12" ht="15.75" customHeight="1">
      <c r="A14" s="8">
        <v>42645</v>
      </c>
      <c r="B14" s="8">
        <v>43339</v>
      </c>
      <c r="D14" s="10" t="str">
        <f>HYPERLINK("https://www.alltrails.com/trail/us/colorado/lily-pad-lake-trail?ref=search","Lily Pad Lake")</f>
        <v>Lily Pad Lake</v>
      </c>
      <c r="E14" s="11">
        <v>3.3</v>
      </c>
      <c r="F14" s="12">
        <v>396</v>
      </c>
      <c r="G14" s="12">
        <v>9974</v>
      </c>
      <c r="H14" s="3">
        <v>1.25</v>
      </c>
      <c r="I14" s="3">
        <v>3</v>
      </c>
      <c r="K14" s="3" t="s">
        <v>62</v>
      </c>
    </row>
    <row r="15" spans="1:12" ht="15.75" customHeight="1">
      <c r="A15" s="8">
        <v>42784</v>
      </c>
      <c r="D15" s="10" t="str">
        <f>HYPERLINK("https://www.alltrails.com/trail/us/colorado/matthews-winters-park?ref=search","Red Rocks Trail")</f>
        <v>Red Rocks Trail</v>
      </c>
      <c r="E15" s="11">
        <v>5.8</v>
      </c>
      <c r="F15" s="12">
        <v>1181</v>
      </c>
      <c r="G15" s="12">
        <v>6783</v>
      </c>
      <c r="H15" s="3">
        <v>0.5</v>
      </c>
      <c r="I15" s="3">
        <v>3</v>
      </c>
      <c r="J15" s="3" t="s">
        <v>145</v>
      </c>
      <c r="L15" s="3" t="s">
        <v>146</v>
      </c>
    </row>
    <row r="16" spans="1:12" ht="15.75" customHeight="1">
      <c r="A16" s="8">
        <v>42826</v>
      </c>
      <c r="B16" s="3"/>
      <c r="C16" s="3"/>
      <c r="D16" s="10" t="str">
        <f>HYPERLINK("https://www.alltrails.com/trail/us/colorado/royal-arch-trail?ref=search","Royal Arch Trail")</f>
        <v>Royal Arch Trail</v>
      </c>
      <c r="E16" s="11">
        <v>3</v>
      </c>
      <c r="F16" s="12">
        <v>1377</v>
      </c>
      <c r="G16" s="12">
        <v>6958</v>
      </c>
      <c r="H16" s="3">
        <v>0.5</v>
      </c>
      <c r="I16" s="3">
        <v>3</v>
      </c>
      <c r="J16" s="3" t="s">
        <v>147</v>
      </c>
      <c r="K16" s="3"/>
    </row>
    <row r="17" spans="1:12" ht="15.75" customHeight="1">
      <c r="A17" s="8">
        <v>42889</v>
      </c>
      <c r="B17" s="3"/>
      <c r="C17" s="3"/>
      <c r="D17" s="10" t="str">
        <f>HYPERLINK("https://www.alltrails.com/trail/us/colorado/arapahoe-pass-and-lake-dorothy-trail","Arapahoe Pass and Dorothy Lake")</f>
        <v>Arapahoe Pass and Dorothy Lake</v>
      </c>
      <c r="E17" s="11">
        <v>7.1</v>
      </c>
      <c r="F17" s="12">
        <v>1942</v>
      </c>
      <c r="G17" s="12">
        <v>12065</v>
      </c>
      <c r="H17" s="3">
        <v>1.5</v>
      </c>
      <c r="I17" s="3">
        <v>4</v>
      </c>
      <c r="L17" s="3" t="s">
        <v>152</v>
      </c>
    </row>
    <row r="18" spans="1:12" ht="15.75" customHeight="1">
      <c r="A18" s="8">
        <v>42896</v>
      </c>
      <c r="D18" s="10" t="str">
        <f>HYPERLINK("https://www.alltrails.com/trail/us/colorado/bighorn-creek-trail?ref=search","Bighorn Creek Trail")</f>
        <v>Bighorn Creek Trail</v>
      </c>
      <c r="E18" s="11">
        <v>6.9</v>
      </c>
      <c r="F18" s="12">
        <v>2244</v>
      </c>
      <c r="G18" s="12">
        <v>10799</v>
      </c>
      <c r="H18" s="3">
        <v>1.75</v>
      </c>
      <c r="I18" s="3">
        <v>4</v>
      </c>
      <c r="L18" s="3" t="s">
        <v>155</v>
      </c>
    </row>
    <row r="19" spans="1:12" ht="15.75" customHeight="1">
      <c r="A19" s="8">
        <v>42918</v>
      </c>
      <c r="D19" s="10" t="str">
        <f>HYPERLINK("https://www.alltrails.com/explore/trail/us/colorado/jasper-lake-trail","Jasper Lake (and Devils Thumb Pass)")</f>
        <v>Jasper Lake (and Devils Thumb Pass)</v>
      </c>
      <c r="E19" s="11">
        <v>13</v>
      </c>
      <c r="F19" s="12">
        <v>2998</v>
      </c>
      <c r="G19" s="12">
        <v>11988</v>
      </c>
      <c r="H19" s="3">
        <v>1.25</v>
      </c>
      <c r="I19" s="3">
        <v>4</v>
      </c>
    </row>
    <row r="20" spans="1:12" ht="15.75" customHeight="1">
      <c r="A20" s="8">
        <v>42925</v>
      </c>
      <c r="D20" s="10" t="str">
        <f>HYPERLINK("https://www.alltrails.com/trail/us/colorado/lost-lake-via-hessie-trail","Lost Lake")</f>
        <v>Lost Lake</v>
      </c>
      <c r="E20" s="11">
        <v>4.0999999999999996</v>
      </c>
      <c r="F20" s="12">
        <v>869</v>
      </c>
      <c r="G20" s="12">
        <v>9820</v>
      </c>
      <c r="H20" s="3">
        <v>1.25</v>
      </c>
      <c r="I20" s="3">
        <v>2</v>
      </c>
      <c r="L20" s="3" t="s">
        <v>158</v>
      </c>
    </row>
    <row r="21" spans="1:12" ht="15.75" customHeight="1">
      <c r="A21" s="8">
        <v>42931</v>
      </c>
      <c r="D21" s="10" t="str">
        <f>HYPERLINK("https://www.alltrails.com/trail/us/colorado/mount-yale-summit-trail","Mount Yale")</f>
        <v>Mount Yale</v>
      </c>
      <c r="E21" s="11">
        <v>8.6999999999999993</v>
      </c>
      <c r="F21" s="12">
        <v>4238</v>
      </c>
      <c r="G21" s="12">
        <v>14179</v>
      </c>
      <c r="H21" s="3">
        <v>2.75</v>
      </c>
      <c r="I21" s="3">
        <v>5</v>
      </c>
    </row>
    <row r="22" spans="1:12" ht="15.75" customHeight="1">
      <c r="A22" s="8">
        <v>42939</v>
      </c>
      <c r="D22" s="10" t="str">
        <f>HYPERLINK("https://www.alltrails.com/trail/us/oregon/burma-road-loop?ref=search","Burma Road Loop")</f>
        <v>Burma Road Loop</v>
      </c>
      <c r="E22" s="11">
        <v>7</v>
      </c>
      <c r="F22" s="12">
        <v>1151</v>
      </c>
      <c r="G22" s="12">
        <v>3577</v>
      </c>
      <c r="H22" s="15" t="s">
        <v>83</v>
      </c>
      <c r="I22" s="3">
        <v>4</v>
      </c>
    </row>
    <row r="23" spans="1:12" ht="15.75" customHeight="1">
      <c r="A23" s="8">
        <v>42942</v>
      </c>
      <c r="D23" s="10" t="str">
        <f>HYPERLINK("https://www.alltrails.com/trail/us/washington/harrys-ridge?ref=search","Harry’s Ridge Trail")</f>
        <v>Harry’s Ridge Trail</v>
      </c>
      <c r="E23" s="11">
        <v>7.8</v>
      </c>
      <c r="F23" s="12">
        <v>1564</v>
      </c>
      <c r="G23" s="12">
        <v>4735</v>
      </c>
      <c r="H23" s="15" t="s">
        <v>83</v>
      </c>
      <c r="I23" s="3">
        <v>4</v>
      </c>
      <c r="L23" s="3" t="s">
        <v>170</v>
      </c>
    </row>
    <row r="24" spans="1:12" ht="15.75" customHeight="1">
      <c r="A24" s="8">
        <v>42973</v>
      </c>
      <c r="B24" s="3"/>
      <c r="C24" s="3"/>
      <c r="D24" s="10" t="str">
        <f>HYPERLINK("https://www.alltrails.com/trail/us/colorado/isabelle-glacier-trail","Lake Isabelle and (almost) Isabelle Glacier")</f>
        <v>Lake Isabelle and (almost) Isabelle Glacier</v>
      </c>
      <c r="E24" s="11">
        <v>8.4</v>
      </c>
      <c r="F24" s="12">
        <v>1660</v>
      </c>
      <c r="G24" s="12">
        <v>12000</v>
      </c>
      <c r="H24" s="3">
        <v>1.25</v>
      </c>
      <c r="I24" s="3">
        <v>5</v>
      </c>
      <c r="J24" s="3" t="s">
        <v>177</v>
      </c>
      <c r="L24" s="3" t="s">
        <v>178</v>
      </c>
    </row>
    <row r="25" spans="1:12" ht="15.75" customHeight="1">
      <c r="A25" s="8">
        <v>42981</v>
      </c>
      <c r="C25" s="3" t="s">
        <v>66</v>
      </c>
      <c r="D25" s="10" t="str">
        <f>HYPERLINK("https://www.alltrails.com/trail/us/colorado/kroenke-lake?ref=search","Kroenke Lake")</f>
        <v>Kroenke Lake</v>
      </c>
      <c r="E25" s="11">
        <v>8.6</v>
      </c>
      <c r="F25" s="12">
        <v>1683</v>
      </c>
      <c r="G25" s="12">
        <v>11555</v>
      </c>
      <c r="H25" s="3">
        <v>2.75</v>
      </c>
      <c r="I25" s="3">
        <v>4</v>
      </c>
    </row>
    <row r="26" spans="1:12" ht="15.75" customHeight="1">
      <c r="A26" s="8">
        <v>43001</v>
      </c>
      <c r="D26" s="10" t="str">
        <f>HYPERLINK("https://www.alltrails.com/trail/us/colorado/penitente-canyon?ref=search","Penitente Canyon")</f>
        <v>Penitente Canyon</v>
      </c>
      <c r="E26" s="11">
        <v>5.4</v>
      </c>
      <c r="F26" s="12">
        <v>1010</v>
      </c>
      <c r="G26" s="12">
        <v>8462</v>
      </c>
      <c r="H26" s="3">
        <v>4</v>
      </c>
      <c r="I26" s="3">
        <v>3</v>
      </c>
    </row>
    <row r="27" spans="1:12" ht="15.75" customHeight="1">
      <c r="A27" s="8">
        <v>43008</v>
      </c>
      <c r="D27" s="10" t="str">
        <f>HYPERLINK("https://www.alltrails.com/trail/us/colorado/angler-mountain-trail-29?ref=search","Angler Mountain Trail")</f>
        <v>Angler Mountain Trail</v>
      </c>
      <c r="E27" s="11">
        <v>4.0999999999999996</v>
      </c>
      <c r="F27" s="12">
        <v>1128</v>
      </c>
      <c r="G27" s="12">
        <v>9832</v>
      </c>
      <c r="H27" s="3">
        <v>1.5</v>
      </c>
      <c r="I27" s="3">
        <v>1</v>
      </c>
    </row>
    <row r="28" spans="1:12" ht="15.75" customHeight="1">
      <c r="A28" s="8">
        <v>43036</v>
      </c>
      <c r="D28" s="10" t="str">
        <f>HYPERLINK("https://www.alltrails.com/trail/us/colorado/mesa-cortina-trail-to-south-willow-creek-falls?ref=search","Mesa-Cortina Trail to South Willow Creek Falls")</f>
        <v>Mesa-Cortina Trail to South Willow Creek Falls</v>
      </c>
      <c r="E28" s="11">
        <v>8.6999999999999993</v>
      </c>
      <c r="F28" s="12">
        <v>1338</v>
      </c>
      <c r="G28" s="12">
        <v>10027</v>
      </c>
      <c r="H28" s="3">
        <v>1.5</v>
      </c>
      <c r="I28" s="3">
        <v>3</v>
      </c>
    </row>
    <row r="29" spans="1:12" ht="15.75" customHeight="1">
      <c r="A29" s="8">
        <v>43037</v>
      </c>
      <c r="D29" s="10" t="str">
        <f>HYPERLINK("https://www.alltrails.com/explore/trail/us/colorado/sniktau-mountain-trail","Mount Sniktau Trail")</f>
        <v>Mount Sniktau Trail</v>
      </c>
      <c r="E29" s="11">
        <v>3.5</v>
      </c>
      <c r="F29" s="12">
        <v>1532</v>
      </c>
      <c r="G29" s="12">
        <v>13220</v>
      </c>
      <c r="H29" s="3">
        <v>1.25</v>
      </c>
      <c r="I29" s="3">
        <v>3</v>
      </c>
      <c r="L29" s="3" t="s">
        <v>184</v>
      </c>
    </row>
    <row r="30" spans="1:12" ht="15.75" customHeight="1">
      <c r="A30" s="8">
        <v>43050</v>
      </c>
      <c r="B30" s="3"/>
      <c r="C30" s="3"/>
      <c r="D30" s="10" t="str">
        <f>HYPERLINK("https://www.alltrails.com/explore/trail/us/colorado/chief-mountain-trail","Chief Mountain")</f>
        <v>Chief Mountain</v>
      </c>
      <c r="E30" s="11">
        <v>3.1</v>
      </c>
      <c r="F30" s="12">
        <v>984</v>
      </c>
      <c r="G30" s="12">
        <v>11713</v>
      </c>
      <c r="H30" s="3">
        <v>0.75</v>
      </c>
      <c r="I30" s="3">
        <v>4</v>
      </c>
      <c r="J30" s="3" t="s">
        <v>186</v>
      </c>
      <c r="K30" s="3" t="s">
        <v>29</v>
      </c>
      <c r="L30" s="3" t="s">
        <v>187</v>
      </c>
    </row>
    <row r="31" spans="1:12" ht="15.75" customHeight="1">
      <c r="A31" s="8">
        <v>43184</v>
      </c>
      <c r="B31" s="3"/>
      <c r="D31" s="10" t="str">
        <f>HYPERLINK("https://www.alltrails.com/explore/trail/us/colorado/mount-galbraith-loop-via-cedar-gulch-trail","Mount Galbraith Loop")</f>
        <v>Mount Galbraith Loop</v>
      </c>
      <c r="E31" s="11">
        <v>4.4000000000000004</v>
      </c>
      <c r="F31" s="12">
        <v>987</v>
      </c>
      <c r="G31" s="12">
        <v>7253</v>
      </c>
      <c r="H31" s="3">
        <v>0.75</v>
      </c>
      <c r="I31" s="3">
        <v>2</v>
      </c>
    </row>
    <row r="32" spans="1:12" ht="13.2">
      <c r="A32" s="8">
        <v>43231</v>
      </c>
      <c r="B32" s="3"/>
      <c r="D32" s="10" t="str">
        <f>HYPERLINK("https://www.alltrails.com/explore/trail/us/colorado/kenosha-pass-north","Kenosha Pass North")</f>
        <v>Kenosha Pass North</v>
      </c>
      <c r="E32" s="11">
        <v>7</v>
      </c>
      <c r="F32" s="12">
        <v>1089</v>
      </c>
      <c r="G32" s="12">
        <v>10400</v>
      </c>
      <c r="H32" s="3">
        <v>1.25</v>
      </c>
      <c r="I32" s="3">
        <v>3</v>
      </c>
    </row>
    <row r="33" spans="1:12" ht="13.2">
      <c r="A33" s="8">
        <v>43232</v>
      </c>
      <c r="B33" s="3"/>
      <c r="D33" s="10" t="str">
        <f>HYPERLINK("https://www.alltrails.com/explore/trail/us/colorado/browns-creek-waterfall-trail","Browns Creek Waterfall")</f>
        <v>Browns Creek Waterfall</v>
      </c>
      <c r="E33" s="11">
        <v>6.2</v>
      </c>
      <c r="F33" s="12">
        <v>941</v>
      </c>
      <c r="G33" s="12">
        <v>9826</v>
      </c>
      <c r="H33" s="3">
        <v>2.75</v>
      </c>
      <c r="I33" s="3">
        <v>3</v>
      </c>
    </row>
    <row r="34" spans="1:12" ht="13.2">
      <c r="A34" s="8">
        <v>43253</v>
      </c>
      <c r="B34" s="3"/>
      <c r="D34" s="10" t="str">
        <f>HYPERLINK("https://www.alltrails.com/explore/parks/us/colorado/paint-mines-interpretive-park?ar[]=10159230","Paint Mines")</f>
        <v>Paint Mines</v>
      </c>
      <c r="E34" s="11">
        <v>3.4</v>
      </c>
      <c r="F34" s="12">
        <v>334</v>
      </c>
      <c r="G34" s="12">
        <v>6783</v>
      </c>
      <c r="H34" s="3">
        <v>1.5</v>
      </c>
      <c r="I34" s="3">
        <v>4</v>
      </c>
    </row>
    <row r="35" spans="1:12" ht="13.2">
      <c r="A35" s="8">
        <v>43260</v>
      </c>
      <c r="B35" s="3"/>
      <c r="D35" s="10" t="str">
        <f>HYPERLINK("https://www.alltrails.com/explore/trail/us/colorado/james-peak-trail","James Peak")</f>
        <v>James Peak</v>
      </c>
      <c r="E35" s="11">
        <v>8</v>
      </c>
      <c r="F35" s="12">
        <v>2949</v>
      </c>
      <c r="G35" s="12">
        <v>13307</v>
      </c>
      <c r="H35" s="3">
        <v>1.25</v>
      </c>
      <c r="I35" s="3">
        <v>4</v>
      </c>
      <c r="J35" s="3" t="s">
        <v>193</v>
      </c>
      <c r="L35" s="3" t="s">
        <v>64</v>
      </c>
    </row>
    <row r="36" spans="1:12" ht="13.2">
      <c r="A36" s="8">
        <v>43274</v>
      </c>
      <c r="B36" s="3"/>
      <c r="C36" s="3"/>
      <c r="D36" s="10" t="str">
        <f>HYPERLINK("https://www.alltrails.com/explore/trail/us/colorado/chicago-lakes-trail","Chicago Lakes Trail")</f>
        <v>Chicago Lakes Trail</v>
      </c>
      <c r="E36" s="11">
        <v>8.6999999999999993</v>
      </c>
      <c r="F36" s="12">
        <v>1971</v>
      </c>
      <c r="G36" s="12">
        <v>11800</v>
      </c>
      <c r="H36" s="3">
        <v>1.25</v>
      </c>
      <c r="I36" s="3">
        <v>4</v>
      </c>
      <c r="J36" s="3" t="s">
        <v>194</v>
      </c>
    </row>
    <row r="37" spans="1:12" ht="13.2">
      <c r="A37" s="8">
        <v>43274</v>
      </c>
      <c r="B37" s="3"/>
      <c r="C37" s="3"/>
      <c r="D37" s="10" t="str">
        <f>HYPERLINK("https://www.alltrails.com/explore/trail/us/colorado/silver-dollar-lake-ad-murray-lake-trail","Silver Dollar Lake and Murray Lake")</f>
        <v>Silver Dollar Lake and Murray Lake</v>
      </c>
      <c r="E37" s="11">
        <v>3.9</v>
      </c>
      <c r="F37" s="12">
        <v>1062</v>
      </c>
      <c r="G37" s="12">
        <v>12214</v>
      </c>
      <c r="H37" s="3">
        <v>1.25</v>
      </c>
      <c r="I37" s="3">
        <v>3</v>
      </c>
      <c r="J37" s="3" t="s">
        <v>198</v>
      </c>
    </row>
    <row r="38" spans="1:12" ht="13.2">
      <c r="A38" s="8">
        <v>43283</v>
      </c>
      <c r="B38" s="3"/>
      <c r="D38" s="10" t="str">
        <f>HYPERLINK("https://www.alltrails.com/explore/trail/us/colorado/la-plata-peak-north-trail","La Plata Peak")</f>
        <v>La Plata Peak</v>
      </c>
      <c r="E38" s="11">
        <v>11.5</v>
      </c>
      <c r="F38" s="12">
        <v>4294</v>
      </c>
      <c r="G38" s="12">
        <v>14333</v>
      </c>
      <c r="H38" s="3">
        <v>2.5</v>
      </c>
      <c r="I38" s="3">
        <v>5</v>
      </c>
    </row>
    <row r="39" spans="1:12" ht="13.2">
      <c r="A39" s="8">
        <v>43285</v>
      </c>
      <c r="B39" s="3"/>
      <c r="D39" s="10" t="str">
        <f>HYPERLINK("https://www.alltrails.com/explore/trail/us/colorado/hagerman-tunnel-trail","Hagerman Tunnel")</f>
        <v>Hagerman Tunnel</v>
      </c>
      <c r="E39" s="11">
        <v>7.4</v>
      </c>
      <c r="F39" s="12">
        <v>895</v>
      </c>
      <c r="G39" s="12">
        <v>11625</v>
      </c>
      <c r="H39" s="3">
        <v>2.5</v>
      </c>
      <c r="I39" s="3">
        <v>5</v>
      </c>
      <c r="J39" s="3" t="s">
        <v>203</v>
      </c>
      <c r="K39" s="3" t="s">
        <v>29</v>
      </c>
    </row>
    <row r="40" spans="1:12" ht="13.2">
      <c r="A40" s="8">
        <v>43287</v>
      </c>
      <c r="B40" s="3"/>
      <c r="C40" s="3" t="s">
        <v>66</v>
      </c>
      <c r="D40" s="10" t="str">
        <f>HYPERLINK("https://www.alltrails.com/explore/trail/us/colorado/crested-butte-to-aspen-via-west-maroon-pass","Aspen to Crested Butte (and back)")</f>
        <v>Aspen to Crested Butte (and back)</v>
      </c>
      <c r="E40" s="11">
        <v>20</v>
      </c>
      <c r="F40" s="12">
        <v>4500</v>
      </c>
      <c r="G40" s="12">
        <v>12483</v>
      </c>
      <c r="H40" s="3">
        <v>3.75</v>
      </c>
      <c r="I40" s="3">
        <v>5</v>
      </c>
      <c r="L40" s="3" t="s">
        <v>204</v>
      </c>
    </row>
    <row r="41" spans="1:12" ht="13.2">
      <c r="A41" s="8">
        <v>43302</v>
      </c>
      <c r="B41" s="3"/>
      <c r="C41" s="3" t="s">
        <v>66</v>
      </c>
      <c r="D41" s="10" t="str">
        <f>HYPERLINK("https://www.alltrails.com/explore/trail/us/colorado/mount-harvard-trail","Mount Harvard (via Horn Fork Trail and Bear Lake)")</f>
        <v>Mount Harvard (via Horn Fork Trail and Bear Lake)</v>
      </c>
      <c r="E41" s="11">
        <v>12.4</v>
      </c>
      <c r="F41" s="12">
        <v>1481</v>
      </c>
      <c r="G41" s="12">
        <v>14390</v>
      </c>
      <c r="H41" s="3">
        <v>2.75</v>
      </c>
      <c r="I41" s="3">
        <v>4</v>
      </c>
      <c r="L41" s="3" t="s">
        <v>206</v>
      </c>
    </row>
    <row r="42" spans="1:12" ht="13.2">
      <c r="A42" s="8">
        <v>43337</v>
      </c>
      <c r="B42" s="3"/>
      <c r="C42" s="3" t="s">
        <v>66</v>
      </c>
      <c r="D42" s="10" t="str">
        <f>HYPERLINK("https://www.alltrails.com/explore/trail/us/colorado/missouri-lakes-and-fancy-lakes-loop-trail","Missouri Lakes and Fancy Pass Loop")</f>
        <v>Missouri Lakes and Fancy Pass Loop</v>
      </c>
      <c r="E42" s="11">
        <v>8.3000000000000007</v>
      </c>
      <c r="F42" s="12">
        <v>2600</v>
      </c>
      <c r="G42" s="12">
        <v>12300</v>
      </c>
      <c r="H42" s="3">
        <v>2.5</v>
      </c>
      <c r="I42" s="3">
        <v>5</v>
      </c>
      <c r="J42" s="3" t="s">
        <v>207</v>
      </c>
      <c r="K42" s="3" t="s">
        <v>116</v>
      </c>
      <c r="L42" s="3" t="s">
        <v>209</v>
      </c>
    </row>
    <row r="43" spans="1:12" ht="13.2">
      <c r="A43" s="8">
        <v>43344</v>
      </c>
      <c r="B43" s="3"/>
      <c r="D43" s="10" t="str">
        <f>HYPERLINK("https://www.alltrails.com/explore/trail/us/colorado/missouri-mountain-trail--2","Mount Missouri")</f>
        <v>Mount Missouri</v>
      </c>
      <c r="E43" s="11">
        <v>11.5</v>
      </c>
      <c r="F43" s="12">
        <v>4468</v>
      </c>
      <c r="G43" s="12">
        <v>14049</v>
      </c>
      <c r="H43" s="3">
        <v>2.5</v>
      </c>
      <c r="I43" s="3">
        <v>5</v>
      </c>
    </row>
    <row r="44" spans="1:12" ht="13.2">
      <c r="A44" s="8">
        <v>43358</v>
      </c>
      <c r="B44" s="3"/>
      <c r="C44" s="3" t="s">
        <v>66</v>
      </c>
      <c r="D44" s="10" t="str">
        <f>HYPERLINK("https://www.alltrails.com/explore/trail/us/colorado/pitkin-lake-trail","Pitkin Lake")</f>
        <v>Pitkin Lake</v>
      </c>
      <c r="E44" s="11">
        <v>10.5</v>
      </c>
      <c r="F44" s="12">
        <v>2975</v>
      </c>
      <c r="G44" s="12">
        <v>11374</v>
      </c>
      <c r="H44" s="3">
        <v>1.75</v>
      </c>
      <c r="I44" s="3">
        <v>5</v>
      </c>
    </row>
    <row r="45" spans="1:12" ht="13.2">
      <c r="A45" s="8">
        <v>43365</v>
      </c>
      <c r="B45" s="3"/>
      <c r="D45" s="10" t="str">
        <f>HYPERLINK("https://www.alltrails.com/explore/trail/us/colorado/the-decalibron-mounts-democrat-cameron-lincoln-and-bross-trail","The Decalibron (Bross, Lincoln, Cameron, Democrat)")</f>
        <v>The Decalibron (Bross, Lincoln, Cameron, Democrat)</v>
      </c>
      <c r="E45" s="11">
        <v>7.6</v>
      </c>
      <c r="F45" s="12">
        <v>3412</v>
      </c>
      <c r="G45" s="12">
        <v>14256</v>
      </c>
      <c r="H45" s="3">
        <v>2</v>
      </c>
      <c r="I45" s="3">
        <v>3</v>
      </c>
    </row>
    <row r="46" spans="1:12" ht="13.2">
      <c r="A46" s="8">
        <v>43372</v>
      </c>
      <c r="D46" s="10" t="str">
        <f>HYPERLINK("https://www.alltrails.com/explore/trail/us/colorado/berthoud-pass","Berthoud Pass Trail")</f>
        <v>Berthoud Pass Trail</v>
      </c>
      <c r="E46" s="11">
        <v>5.5</v>
      </c>
      <c r="F46" s="12">
        <v>1555</v>
      </c>
      <c r="G46" s="12">
        <v>12465</v>
      </c>
      <c r="H46" s="3">
        <v>1.25</v>
      </c>
      <c r="I46" s="3">
        <v>3</v>
      </c>
      <c r="J46" s="3" t="s">
        <v>214</v>
      </c>
      <c r="K46" s="3" t="s">
        <v>62</v>
      </c>
      <c r="L46" s="3" t="s">
        <v>215</v>
      </c>
    </row>
    <row r="47" spans="1:12" ht="13.2">
      <c r="A47" s="8">
        <v>43393</v>
      </c>
      <c r="B47" s="3"/>
      <c r="C47" s="3"/>
      <c r="D47" s="10" t="str">
        <f>HYPERLINK("https://www.alltrails.com/explore/trail/us/colorado/quandary-peak-trail","Quandary Peak")</f>
        <v>Quandary Peak</v>
      </c>
      <c r="E47" s="11">
        <v>6.7</v>
      </c>
      <c r="F47" s="12">
        <v>3339</v>
      </c>
      <c r="G47" s="12">
        <v>14260</v>
      </c>
      <c r="H47" s="3">
        <v>2</v>
      </c>
      <c r="I47" s="3">
        <v>4</v>
      </c>
      <c r="J47" s="3" t="s">
        <v>218</v>
      </c>
      <c r="L47" s="20" t="s">
        <v>219</v>
      </c>
    </row>
    <row r="48" spans="1:12" ht="13.2">
      <c r="A48" s="8">
        <v>42603</v>
      </c>
      <c r="B48" s="3"/>
      <c r="C48" s="3" t="s">
        <v>66</v>
      </c>
      <c r="D48" s="10" t="str">
        <f>HYPERLINK("https://www.hikingproject.com/trail/7002479/buffalo-mountain-loop","Buffalo Mountain loop")</f>
        <v>Buffalo Mountain loop</v>
      </c>
      <c r="E48" s="11">
        <v>13.4</v>
      </c>
      <c r="F48" s="12">
        <v>1976</v>
      </c>
      <c r="G48" s="12">
        <v>11829</v>
      </c>
      <c r="H48" s="3">
        <v>1.5</v>
      </c>
      <c r="I48" s="3">
        <v>4</v>
      </c>
      <c r="J48" s="3" t="s">
        <v>99</v>
      </c>
      <c r="L48" s="3" t="s">
        <v>100</v>
      </c>
    </row>
    <row r="49" spans="1:12" ht="13.2">
      <c r="A49" s="8">
        <v>42224</v>
      </c>
      <c r="B49" s="3"/>
      <c r="C49" s="3" t="s">
        <v>66</v>
      </c>
      <c r="D49" s="3" t="s">
        <v>67</v>
      </c>
      <c r="E49" s="11"/>
      <c r="F49" s="12"/>
      <c r="G49" s="12"/>
    </row>
    <row r="50" spans="1:12" ht="13.2">
      <c r="A50" s="8">
        <v>42530</v>
      </c>
      <c r="B50" s="3"/>
      <c r="D50" s="3" t="s">
        <v>82</v>
      </c>
      <c r="E50" s="11"/>
      <c r="F50" s="12"/>
      <c r="G50" s="12"/>
      <c r="H50" s="15" t="s">
        <v>83</v>
      </c>
    </row>
    <row r="51" spans="1:12" ht="13.2">
      <c r="A51" s="8">
        <v>42531</v>
      </c>
      <c r="B51" s="3"/>
      <c r="D51" s="3" t="s">
        <v>86</v>
      </c>
      <c r="E51" s="11"/>
      <c r="F51" s="12"/>
      <c r="G51" s="12"/>
      <c r="H51" s="15" t="s">
        <v>83</v>
      </c>
    </row>
    <row r="52" spans="1:12" ht="13.2">
      <c r="A52" s="8">
        <v>42633</v>
      </c>
      <c r="B52" s="3"/>
      <c r="D52" s="3" t="s">
        <v>118</v>
      </c>
      <c r="E52" s="11"/>
      <c r="F52" s="12"/>
      <c r="G52" s="12"/>
      <c r="H52" s="15" t="s">
        <v>83</v>
      </c>
    </row>
    <row r="53" spans="1:12" ht="13.2">
      <c r="A53" s="8">
        <v>42634</v>
      </c>
      <c r="B53" s="3"/>
      <c r="D53" s="3" t="s">
        <v>119</v>
      </c>
      <c r="E53" s="11"/>
      <c r="F53" s="12"/>
      <c r="G53" s="12"/>
      <c r="H53" s="15" t="s">
        <v>83</v>
      </c>
    </row>
    <row r="54" spans="1:12" ht="13.2">
      <c r="A54" s="8">
        <v>42635</v>
      </c>
      <c r="B54" s="3"/>
      <c r="D54" s="3" t="s">
        <v>120</v>
      </c>
      <c r="E54" s="11">
        <v>1.2</v>
      </c>
      <c r="F54" s="12">
        <v>59</v>
      </c>
      <c r="G54" s="12">
        <v>4188</v>
      </c>
      <c r="H54" s="15" t="s">
        <v>83</v>
      </c>
      <c r="I54" s="3">
        <v>3</v>
      </c>
      <c r="J54" s="3" t="s">
        <v>121</v>
      </c>
      <c r="L54" s="3" t="s">
        <v>122</v>
      </c>
    </row>
    <row r="55" spans="1:12" ht="13.2">
      <c r="A55" s="8">
        <v>42636</v>
      </c>
      <c r="B55" s="3"/>
      <c r="D55" s="3" t="s">
        <v>123</v>
      </c>
      <c r="E55" s="11"/>
      <c r="F55" s="12"/>
      <c r="G55" s="12"/>
      <c r="H55" s="15" t="s">
        <v>83</v>
      </c>
    </row>
    <row r="56" spans="1:12" ht="13.2">
      <c r="A56" s="8">
        <v>42764</v>
      </c>
      <c r="D56" s="3" t="s">
        <v>141</v>
      </c>
      <c r="E56" s="11"/>
      <c r="F56" s="12"/>
      <c r="G56" s="12"/>
    </row>
    <row r="57" spans="1:12" ht="13.2">
      <c r="A57" s="8">
        <v>42945</v>
      </c>
      <c r="C57" s="3" t="s">
        <v>66</v>
      </c>
      <c r="D57" s="3" t="s">
        <v>173</v>
      </c>
      <c r="E57" s="11"/>
      <c r="F57" s="12"/>
      <c r="G57" s="12"/>
      <c r="H57" s="15" t="s">
        <v>83</v>
      </c>
    </row>
    <row r="58" spans="1:12" ht="13.2">
      <c r="E58" s="11"/>
      <c r="F58" s="12"/>
      <c r="G58" s="12"/>
    </row>
    <row r="59" spans="1:12" ht="13.2">
      <c r="E59" s="11"/>
      <c r="F59" s="12"/>
      <c r="G59" s="12"/>
    </row>
    <row r="60" spans="1:12" ht="13.2">
      <c r="E60" s="11"/>
      <c r="F60" s="12"/>
      <c r="G60" s="12"/>
    </row>
    <row r="61" spans="1:12" ht="13.2">
      <c r="E61" s="11"/>
      <c r="F61" s="12"/>
      <c r="G61" s="12"/>
    </row>
    <row r="62" spans="1:12" ht="13.2">
      <c r="E62" s="11"/>
      <c r="F62" s="12"/>
      <c r="G62" s="12"/>
    </row>
    <row r="63" spans="1:12" ht="13.2">
      <c r="E63" s="11"/>
      <c r="F63" s="12"/>
      <c r="G63" s="12"/>
    </row>
    <row r="64" spans="1:12" ht="13.2">
      <c r="E64" s="11"/>
      <c r="F64" s="12"/>
      <c r="G64" s="12"/>
    </row>
    <row r="65" spans="5:7" ht="13.2">
      <c r="E65" s="11"/>
      <c r="F65" s="12"/>
      <c r="G65" s="12"/>
    </row>
    <row r="66" spans="5:7" ht="13.2">
      <c r="E66" s="11"/>
      <c r="F66" s="12"/>
      <c r="G66" s="12"/>
    </row>
    <row r="67" spans="5:7" ht="13.2">
      <c r="E67" s="11"/>
      <c r="F67" s="12"/>
      <c r="G67" s="12"/>
    </row>
    <row r="68" spans="5:7" ht="13.2">
      <c r="E68" s="11"/>
      <c r="F68" s="12"/>
      <c r="G68" s="12"/>
    </row>
    <row r="69" spans="5:7" ht="13.2">
      <c r="E69" s="11"/>
      <c r="F69" s="12"/>
      <c r="G69" s="12"/>
    </row>
    <row r="70" spans="5:7" ht="13.2">
      <c r="E70" s="11"/>
      <c r="F70" s="12"/>
      <c r="G70" s="12"/>
    </row>
    <row r="71" spans="5:7" ht="13.2">
      <c r="E71" s="11"/>
      <c r="F71" s="12"/>
      <c r="G71" s="12"/>
    </row>
    <row r="72" spans="5:7" ht="13.2">
      <c r="E72" s="11"/>
      <c r="F72" s="12"/>
      <c r="G72" s="12"/>
    </row>
    <row r="73" spans="5:7" ht="13.2">
      <c r="E73" s="11"/>
      <c r="F73" s="12"/>
      <c r="G73" s="12"/>
    </row>
    <row r="74" spans="5:7" ht="13.2">
      <c r="E74" s="11"/>
      <c r="F74" s="12"/>
      <c r="G74" s="12"/>
    </row>
    <row r="75" spans="5:7" ht="13.2">
      <c r="E75" s="11"/>
      <c r="F75" s="12"/>
      <c r="G75" s="12"/>
    </row>
    <row r="76" spans="5:7" ht="13.2">
      <c r="E76" s="11"/>
      <c r="F76" s="12"/>
      <c r="G76" s="12"/>
    </row>
    <row r="77" spans="5:7" ht="13.2">
      <c r="E77" s="11"/>
      <c r="F77" s="12"/>
      <c r="G77" s="12"/>
    </row>
    <row r="78" spans="5:7" ht="13.2">
      <c r="E78" s="11"/>
      <c r="F78" s="12"/>
      <c r="G78" s="12"/>
    </row>
    <row r="79" spans="5:7" ht="13.2">
      <c r="E79" s="11"/>
      <c r="F79" s="12"/>
      <c r="G79" s="12"/>
    </row>
    <row r="80" spans="5:7" ht="13.2">
      <c r="E80" s="11"/>
      <c r="F80" s="12"/>
      <c r="G80" s="12"/>
    </row>
    <row r="81" spans="3:7" ht="13.2">
      <c r="E81" s="11"/>
      <c r="F81" s="12"/>
      <c r="G81" s="12"/>
    </row>
    <row r="82" spans="3:7" ht="13.2">
      <c r="E82" s="11"/>
      <c r="F82" s="12"/>
      <c r="G82" s="12"/>
    </row>
    <row r="83" spans="3:7" ht="13.2">
      <c r="E83" s="11"/>
      <c r="F83" s="12"/>
      <c r="G83" s="12"/>
    </row>
    <row r="84" spans="3:7" ht="13.2">
      <c r="E84" s="11"/>
      <c r="F84" s="12"/>
      <c r="G84" s="12"/>
    </row>
    <row r="85" spans="3:7" ht="13.2">
      <c r="E85" s="11"/>
      <c r="F85" s="12"/>
      <c r="G85" s="12"/>
    </row>
    <row r="86" spans="3:7" ht="13.2">
      <c r="E86" s="11"/>
      <c r="F86" s="12"/>
      <c r="G86" s="12"/>
    </row>
    <row r="87" spans="3:7" ht="13.2">
      <c r="E87" s="11"/>
      <c r="F87" s="12"/>
      <c r="G87" s="12"/>
    </row>
    <row r="88" spans="3:7" ht="13.2">
      <c r="C88" s="3"/>
      <c r="E88" s="11"/>
      <c r="F88" s="12"/>
      <c r="G88" s="12"/>
    </row>
    <row r="89" spans="3:7" ht="13.2">
      <c r="E89" s="11"/>
      <c r="F89" s="12"/>
      <c r="G89" s="12"/>
    </row>
    <row r="90" spans="3:7" ht="13.2">
      <c r="E90" s="11"/>
      <c r="F90" s="12"/>
      <c r="G90" s="12"/>
    </row>
    <row r="91" spans="3:7" ht="13.2">
      <c r="E91" s="11"/>
      <c r="F91" s="12"/>
      <c r="G91" s="12"/>
    </row>
    <row r="92" spans="3:7" ht="13.2">
      <c r="E92" s="11"/>
      <c r="F92" s="12"/>
      <c r="G92" s="12"/>
    </row>
    <row r="93" spans="3:7" ht="13.2">
      <c r="E93" s="11"/>
      <c r="F93" s="12"/>
      <c r="G93" s="12"/>
    </row>
    <row r="94" spans="3:7" ht="13.2">
      <c r="E94" s="11"/>
      <c r="F94" s="12"/>
      <c r="G94" s="12"/>
    </row>
    <row r="95" spans="3:7" ht="13.2">
      <c r="E95" s="11"/>
      <c r="F95" s="12"/>
      <c r="G95" s="12"/>
    </row>
    <row r="96" spans="3:7" ht="13.2">
      <c r="E96" s="11"/>
      <c r="F96" s="12"/>
      <c r="G96" s="12"/>
    </row>
    <row r="97" spans="5:7" ht="13.2">
      <c r="E97" s="11"/>
      <c r="F97" s="12"/>
      <c r="G97" s="12"/>
    </row>
    <row r="98" spans="5:7" ht="13.2">
      <c r="E98" s="11"/>
      <c r="F98" s="12"/>
      <c r="G98" s="12"/>
    </row>
    <row r="99" spans="5:7" ht="13.2">
      <c r="E99" s="11"/>
      <c r="F99" s="12"/>
      <c r="G99" s="12"/>
    </row>
    <row r="100" spans="5:7" ht="13.2">
      <c r="E100" s="11"/>
      <c r="F100" s="12"/>
      <c r="G100" s="12"/>
    </row>
    <row r="101" spans="5:7" ht="13.2">
      <c r="E101" s="11"/>
      <c r="F101" s="12"/>
      <c r="G101" s="12"/>
    </row>
    <row r="102" spans="5:7" ht="13.2">
      <c r="E102" s="11"/>
      <c r="F102" s="12"/>
      <c r="G102" s="12"/>
    </row>
    <row r="103" spans="5:7" ht="13.2">
      <c r="E103" s="11"/>
      <c r="F103" s="12"/>
      <c r="G103" s="12"/>
    </row>
    <row r="104" spans="5:7" ht="13.2">
      <c r="E104" s="11"/>
      <c r="F104" s="12"/>
      <c r="G104" s="12"/>
    </row>
    <row r="105" spans="5:7" ht="13.2">
      <c r="E105" s="11"/>
      <c r="F105" s="12"/>
      <c r="G105" s="12"/>
    </row>
    <row r="106" spans="5:7" ht="13.2">
      <c r="E106" s="11"/>
      <c r="F106" s="12"/>
      <c r="G106" s="12"/>
    </row>
    <row r="107" spans="5:7" ht="13.2">
      <c r="E107" s="11"/>
      <c r="F107" s="12"/>
      <c r="G107" s="12"/>
    </row>
    <row r="108" spans="5:7" ht="13.2">
      <c r="E108" s="11"/>
      <c r="F108" s="12"/>
      <c r="G108" s="12"/>
    </row>
    <row r="109" spans="5:7" ht="13.2">
      <c r="E109" s="11"/>
      <c r="F109" s="12"/>
      <c r="G109" s="12"/>
    </row>
    <row r="110" spans="5:7" ht="13.2">
      <c r="E110" s="11"/>
      <c r="F110" s="12"/>
      <c r="G110" s="12"/>
    </row>
    <row r="111" spans="5:7" ht="13.2">
      <c r="E111" s="11"/>
      <c r="F111" s="12"/>
      <c r="G111" s="12"/>
    </row>
    <row r="112" spans="5:7" ht="13.2">
      <c r="E112" s="11"/>
      <c r="F112" s="12"/>
      <c r="G112" s="12"/>
    </row>
    <row r="113" spans="5:7" ht="13.2">
      <c r="E113" s="11"/>
      <c r="F113" s="12"/>
      <c r="G113" s="12"/>
    </row>
    <row r="114" spans="5:7" ht="13.2">
      <c r="E114" s="11"/>
      <c r="F114" s="12"/>
      <c r="G114" s="12"/>
    </row>
    <row r="115" spans="5:7" ht="13.2">
      <c r="E115" s="11"/>
      <c r="F115" s="12"/>
      <c r="G115" s="12"/>
    </row>
    <row r="116" spans="5:7" ht="13.2">
      <c r="E116" s="11"/>
      <c r="F116" s="12"/>
      <c r="G116" s="12"/>
    </row>
    <row r="117" spans="5:7" ht="13.2">
      <c r="E117" s="11"/>
      <c r="F117" s="12"/>
      <c r="G117" s="12"/>
    </row>
    <row r="118" spans="5:7" ht="13.2">
      <c r="E118" s="11"/>
      <c r="F118" s="12"/>
      <c r="G118" s="12"/>
    </row>
    <row r="119" spans="5:7" ht="13.2">
      <c r="E119" s="11"/>
      <c r="F119" s="12"/>
      <c r="G119" s="12"/>
    </row>
    <row r="120" spans="5:7" ht="13.2">
      <c r="E120" s="11"/>
      <c r="F120" s="12"/>
      <c r="G120" s="12"/>
    </row>
    <row r="121" spans="5:7" ht="13.2">
      <c r="E121" s="11"/>
      <c r="F121" s="12"/>
      <c r="G121" s="12"/>
    </row>
    <row r="122" spans="5:7" ht="13.2">
      <c r="E122" s="11"/>
      <c r="F122" s="12"/>
      <c r="G122" s="12"/>
    </row>
    <row r="123" spans="5:7" ht="13.2">
      <c r="E123" s="11"/>
      <c r="F123" s="12"/>
      <c r="G123" s="12"/>
    </row>
    <row r="124" spans="5:7" ht="13.2">
      <c r="E124" s="11"/>
      <c r="F124" s="12"/>
      <c r="G124" s="12"/>
    </row>
    <row r="125" spans="5:7" ht="13.2">
      <c r="E125" s="11"/>
      <c r="F125" s="12"/>
      <c r="G125" s="12"/>
    </row>
    <row r="126" spans="5:7" ht="13.2">
      <c r="E126" s="11"/>
      <c r="F126" s="12"/>
      <c r="G126" s="12"/>
    </row>
    <row r="127" spans="5:7" ht="13.2">
      <c r="E127" s="11"/>
      <c r="F127" s="12"/>
      <c r="G127" s="12"/>
    </row>
    <row r="128" spans="5:7" ht="13.2">
      <c r="E128" s="11"/>
      <c r="F128" s="12"/>
      <c r="G128" s="12"/>
    </row>
    <row r="129" spans="5:7" ht="13.2">
      <c r="E129" s="11"/>
      <c r="F129" s="12"/>
      <c r="G129" s="12"/>
    </row>
    <row r="130" spans="5:7" ht="13.2">
      <c r="E130" s="11"/>
      <c r="F130" s="12"/>
      <c r="G130" s="12"/>
    </row>
    <row r="131" spans="5:7" ht="13.2">
      <c r="E131" s="11"/>
      <c r="F131" s="12"/>
      <c r="G131" s="12"/>
    </row>
    <row r="132" spans="5:7" ht="13.2">
      <c r="E132" s="11"/>
      <c r="F132" s="12"/>
      <c r="G132" s="12"/>
    </row>
    <row r="133" spans="5:7" ht="13.2">
      <c r="E133" s="11"/>
      <c r="F133" s="12"/>
      <c r="G133" s="12"/>
    </row>
    <row r="134" spans="5:7" ht="13.2">
      <c r="E134" s="11"/>
      <c r="F134" s="12"/>
      <c r="G134" s="12"/>
    </row>
    <row r="135" spans="5:7" ht="13.2">
      <c r="E135" s="11"/>
      <c r="F135" s="12"/>
      <c r="G135" s="12"/>
    </row>
    <row r="136" spans="5:7" ht="13.2">
      <c r="E136" s="11"/>
      <c r="F136" s="12"/>
      <c r="G136" s="12"/>
    </row>
    <row r="137" spans="5:7" ht="13.2">
      <c r="E137" s="11"/>
      <c r="F137" s="12"/>
      <c r="G137" s="12"/>
    </row>
    <row r="138" spans="5:7" ht="13.2">
      <c r="E138" s="11"/>
      <c r="F138" s="12"/>
      <c r="G138" s="12"/>
    </row>
    <row r="139" spans="5:7" ht="13.2">
      <c r="E139" s="11"/>
      <c r="F139" s="12"/>
      <c r="G139" s="12"/>
    </row>
    <row r="140" spans="5:7" ht="13.2">
      <c r="E140" s="11"/>
      <c r="F140" s="12"/>
      <c r="G140" s="12"/>
    </row>
    <row r="141" spans="5:7" ht="13.2">
      <c r="E141" s="11"/>
      <c r="F141" s="12"/>
      <c r="G141" s="12"/>
    </row>
    <row r="142" spans="5:7" ht="13.2">
      <c r="E142" s="11"/>
      <c r="F142" s="12"/>
      <c r="G142" s="12"/>
    </row>
    <row r="143" spans="5:7" ht="13.2">
      <c r="E143" s="11"/>
      <c r="F143" s="12"/>
      <c r="G143" s="12"/>
    </row>
    <row r="144" spans="5:7" ht="13.2">
      <c r="E144" s="11"/>
      <c r="F144" s="12"/>
      <c r="G144" s="12"/>
    </row>
    <row r="145" spans="5:7" ht="13.2">
      <c r="E145" s="11"/>
      <c r="F145" s="12"/>
      <c r="G145" s="12"/>
    </row>
    <row r="146" spans="5:7" ht="13.2">
      <c r="E146" s="11"/>
      <c r="F146" s="12"/>
      <c r="G146" s="12"/>
    </row>
    <row r="147" spans="5:7" ht="13.2">
      <c r="E147" s="11"/>
      <c r="F147" s="12"/>
      <c r="G147" s="12"/>
    </row>
    <row r="148" spans="5:7" ht="13.2">
      <c r="E148" s="11"/>
      <c r="F148" s="12"/>
      <c r="G148" s="12"/>
    </row>
    <row r="149" spans="5:7" ht="13.2">
      <c r="E149" s="11"/>
      <c r="F149" s="12"/>
      <c r="G149" s="12"/>
    </row>
    <row r="150" spans="5:7" ht="13.2">
      <c r="E150" s="11"/>
      <c r="F150" s="12"/>
      <c r="G150" s="12"/>
    </row>
    <row r="151" spans="5:7" ht="13.2">
      <c r="E151" s="11"/>
      <c r="F151" s="12"/>
      <c r="G151" s="12"/>
    </row>
    <row r="152" spans="5:7" ht="13.2">
      <c r="E152" s="11"/>
      <c r="F152" s="12"/>
      <c r="G152" s="12"/>
    </row>
    <row r="153" spans="5:7" ht="13.2">
      <c r="E153" s="11"/>
      <c r="F153" s="12"/>
      <c r="G153" s="12"/>
    </row>
    <row r="154" spans="5:7" ht="13.2">
      <c r="E154" s="11"/>
      <c r="F154" s="12"/>
      <c r="G154" s="12"/>
    </row>
    <row r="155" spans="5:7" ht="13.2">
      <c r="E155" s="11"/>
      <c r="F155" s="12"/>
      <c r="G155" s="12"/>
    </row>
    <row r="156" spans="5:7" ht="13.2">
      <c r="E156" s="11"/>
      <c r="F156" s="12"/>
      <c r="G156" s="12"/>
    </row>
    <row r="157" spans="5:7" ht="13.2">
      <c r="E157" s="11"/>
      <c r="F157" s="12"/>
      <c r="G157" s="12"/>
    </row>
    <row r="158" spans="5:7" ht="13.2">
      <c r="E158" s="11"/>
      <c r="F158" s="12"/>
      <c r="G158" s="12"/>
    </row>
    <row r="159" spans="5:7" ht="13.2">
      <c r="E159" s="11"/>
      <c r="F159" s="12"/>
      <c r="G159" s="12"/>
    </row>
    <row r="160" spans="5:7" ht="13.2">
      <c r="E160" s="11"/>
      <c r="F160" s="12"/>
      <c r="G160" s="12"/>
    </row>
    <row r="161" spans="5:7" ht="13.2">
      <c r="E161" s="11"/>
      <c r="F161" s="12"/>
      <c r="G161" s="12"/>
    </row>
    <row r="162" spans="5:7" ht="13.2">
      <c r="E162" s="11"/>
      <c r="F162" s="12"/>
      <c r="G162" s="12"/>
    </row>
    <row r="163" spans="5:7" ht="13.2">
      <c r="E163" s="11"/>
      <c r="F163" s="12"/>
      <c r="G163" s="12"/>
    </row>
    <row r="164" spans="5:7" ht="13.2">
      <c r="E164" s="11"/>
      <c r="F164" s="12"/>
      <c r="G164" s="12"/>
    </row>
    <row r="165" spans="5:7" ht="13.2">
      <c r="E165" s="11"/>
      <c r="F165" s="12"/>
      <c r="G165" s="12"/>
    </row>
    <row r="166" spans="5:7" ht="13.2">
      <c r="E166" s="11"/>
      <c r="F166" s="12"/>
      <c r="G166" s="12"/>
    </row>
    <row r="167" spans="5:7" ht="13.2">
      <c r="E167" s="11"/>
      <c r="F167" s="12"/>
      <c r="G167" s="12"/>
    </row>
    <row r="168" spans="5:7" ht="13.2">
      <c r="E168" s="11"/>
      <c r="F168" s="12"/>
      <c r="G168" s="12"/>
    </row>
    <row r="169" spans="5:7" ht="13.2">
      <c r="E169" s="11"/>
      <c r="F169" s="12"/>
      <c r="G169" s="12"/>
    </row>
    <row r="170" spans="5:7" ht="13.2">
      <c r="E170" s="11"/>
      <c r="F170" s="12"/>
      <c r="G170" s="12"/>
    </row>
    <row r="171" spans="5:7" ht="13.2">
      <c r="E171" s="11"/>
      <c r="F171" s="12"/>
      <c r="G171" s="12"/>
    </row>
    <row r="172" spans="5:7" ht="13.2">
      <c r="E172" s="11"/>
      <c r="F172" s="12"/>
      <c r="G172" s="12"/>
    </row>
    <row r="173" spans="5:7" ht="13.2">
      <c r="E173" s="11"/>
      <c r="F173" s="12"/>
      <c r="G173" s="12"/>
    </row>
    <row r="174" spans="5:7" ht="13.2">
      <c r="E174" s="11"/>
      <c r="F174" s="12"/>
      <c r="G174" s="12"/>
    </row>
    <row r="175" spans="5:7" ht="13.2">
      <c r="E175" s="11"/>
      <c r="F175" s="12"/>
      <c r="G175" s="12"/>
    </row>
    <row r="176" spans="5:7" ht="13.2">
      <c r="E176" s="11"/>
      <c r="F176" s="12"/>
      <c r="G176" s="12"/>
    </row>
    <row r="177" spans="5:7" ht="13.2">
      <c r="E177" s="11"/>
      <c r="F177" s="12"/>
      <c r="G177" s="12"/>
    </row>
    <row r="178" spans="5:7" ht="13.2">
      <c r="E178" s="11"/>
      <c r="F178" s="12"/>
      <c r="G178" s="12"/>
    </row>
    <row r="179" spans="5:7" ht="13.2">
      <c r="E179" s="11"/>
      <c r="F179" s="12"/>
      <c r="G179" s="12"/>
    </row>
    <row r="180" spans="5:7" ht="13.2">
      <c r="E180" s="11"/>
      <c r="F180" s="12"/>
      <c r="G180" s="12"/>
    </row>
    <row r="181" spans="5:7" ht="13.2">
      <c r="E181" s="11"/>
      <c r="F181" s="12"/>
      <c r="G181" s="12"/>
    </row>
    <row r="182" spans="5:7" ht="13.2">
      <c r="E182" s="11"/>
      <c r="F182" s="12"/>
      <c r="G182" s="12"/>
    </row>
    <row r="183" spans="5:7" ht="13.2">
      <c r="E183" s="11"/>
      <c r="F183" s="12"/>
      <c r="G183" s="12"/>
    </row>
    <row r="184" spans="5:7" ht="13.2">
      <c r="E184" s="11"/>
      <c r="F184" s="12"/>
      <c r="G184" s="12"/>
    </row>
    <row r="185" spans="5:7" ht="13.2">
      <c r="E185" s="11"/>
      <c r="F185" s="12"/>
      <c r="G185" s="12"/>
    </row>
    <row r="186" spans="5:7" ht="13.2">
      <c r="E186" s="11"/>
      <c r="F186" s="12"/>
      <c r="G186" s="12"/>
    </row>
    <row r="187" spans="5:7" ht="13.2">
      <c r="E187" s="11"/>
      <c r="F187" s="12"/>
      <c r="G187" s="12"/>
    </row>
    <row r="188" spans="5:7" ht="13.2">
      <c r="E188" s="11"/>
      <c r="F188" s="12"/>
      <c r="G188" s="12"/>
    </row>
    <row r="189" spans="5:7" ht="13.2">
      <c r="E189" s="11"/>
      <c r="F189" s="12"/>
      <c r="G189" s="12"/>
    </row>
    <row r="190" spans="5:7" ht="13.2">
      <c r="E190" s="11"/>
      <c r="F190" s="12"/>
      <c r="G190" s="12"/>
    </row>
    <row r="191" spans="5:7" ht="13.2">
      <c r="E191" s="11"/>
      <c r="F191" s="12"/>
      <c r="G191" s="12"/>
    </row>
    <row r="192" spans="5:7" ht="13.2">
      <c r="E192" s="11"/>
      <c r="F192" s="12"/>
      <c r="G192" s="12"/>
    </row>
    <row r="193" spans="5:7" ht="13.2">
      <c r="E193" s="11"/>
      <c r="F193" s="12"/>
      <c r="G193" s="12"/>
    </row>
    <row r="194" spans="5:7" ht="13.2">
      <c r="E194" s="11"/>
      <c r="F194" s="12"/>
      <c r="G194" s="12"/>
    </row>
    <row r="195" spans="5:7" ht="13.2">
      <c r="E195" s="11"/>
      <c r="F195" s="12"/>
      <c r="G195" s="12"/>
    </row>
    <row r="196" spans="5:7" ht="13.2">
      <c r="E196" s="11"/>
      <c r="F196" s="12"/>
      <c r="G196" s="12"/>
    </row>
    <row r="197" spans="5:7" ht="13.2">
      <c r="E197" s="11"/>
      <c r="F197" s="12"/>
      <c r="G197" s="12"/>
    </row>
    <row r="198" spans="5:7" ht="13.2">
      <c r="E198" s="11"/>
      <c r="F198" s="12"/>
      <c r="G198" s="12"/>
    </row>
    <row r="199" spans="5:7" ht="13.2">
      <c r="E199" s="11"/>
      <c r="F199" s="12"/>
      <c r="G199" s="12"/>
    </row>
    <row r="200" spans="5:7" ht="13.2">
      <c r="E200" s="11"/>
      <c r="F200" s="12"/>
      <c r="G200" s="12"/>
    </row>
    <row r="201" spans="5:7" ht="13.2">
      <c r="E201" s="11"/>
      <c r="F201" s="12"/>
      <c r="G201" s="12"/>
    </row>
    <row r="202" spans="5:7" ht="13.2">
      <c r="E202" s="11"/>
      <c r="F202" s="12"/>
      <c r="G202" s="12"/>
    </row>
    <row r="203" spans="5:7" ht="13.2">
      <c r="E203" s="11"/>
      <c r="F203" s="12"/>
      <c r="G203" s="12"/>
    </row>
    <row r="204" spans="5:7" ht="13.2">
      <c r="E204" s="11"/>
      <c r="F204" s="12"/>
      <c r="G204" s="12"/>
    </row>
    <row r="205" spans="5:7" ht="13.2">
      <c r="E205" s="11"/>
      <c r="F205" s="12"/>
      <c r="G205" s="12"/>
    </row>
    <row r="206" spans="5:7" ht="13.2">
      <c r="E206" s="11"/>
      <c r="F206" s="12"/>
      <c r="G206" s="12"/>
    </row>
    <row r="207" spans="5:7" ht="13.2">
      <c r="E207" s="11"/>
      <c r="F207" s="12"/>
      <c r="G207" s="12"/>
    </row>
    <row r="208" spans="5:7" ht="13.2">
      <c r="E208" s="11"/>
      <c r="F208" s="12"/>
      <c r="G208" s="12"/>
    </row>
    <row r="209" spans="5:7" ht="13.2">
      <c r="E209" s="11"/>
      <c r="F209" s="12"/>
      <c r="G209" s="12"/>
    </row>
    <row r="210" spans="5:7" ht="13.2">
      <c r="E210" s="11"/>
      <c r="F210" s="12"/>
      <c r="G210" s="12"/>
    </row>
    <row r="211" spans="5:7" ht="13.2">
      <c r="E211" s="11"/>
      <c r="F211" s="12"/>
      <c r="G211" s="12"/>
    </row>
    <row r="212" spans="5:7" ht="13.2">
      <c r="E212" s="11"/>
      <c r="F212" s="12"/>
      <c r="G212" s="12"/>
    </row>
    <row r="213" spans="5:7" ht="13.2">
      <c r="E213" s="11"/>
      <c r="F213" s="12"/>
      <c r="G213" s="12"/>
    </row>
    <row r="214" spans="5:7" ht="13.2">
      <c r="E214" s="11"/>
      <c r="F214" s="12"/>
      <c r="G214" s="12"/>
    </row>
    <row r="215" spans="5:7" ht="13.2">
      <c r="E215" s="11"/>
      <c r="F215" s="12"/>
      <c r="G215" s="12"/>
    </row>
    <row r="216" spans="5:7" ht="13.2">
      <c r="E216" s="11"/>
      <c r="F216" s="12"/>
      <c r="G216" s="12"/>
    </row>
    <row r="217" spans="5:7" ht="13.2">
      <c r="E217" s="11"/>
      <c r="F217" s="12"/>
      <c r="G217" s="12"/>
    </row>
    <row r="218" spans="5:7" ht="13.2">
      <c r="E218" s="11"/>
      <c r="F218" s="12"/>
      <c r="G218" s="12"/>
    </row>
    <row r="219" spans="5:7" ht="13.2">
      <c r="E219" s="11"/>
      <c r="F219" s="12"/>
      <c r="G219" s="12"/>
    </row>
    <row r="220" spans="5:7" ht="13.2">
      <c r="E220" s="11"/>
      <c r="F220" s="12"/>
      <c r="G220" s="12"/>
    </row>
    <row r="221" spans="5:7" ht="13.2">
      <c r="E221" s="11"/>
      <c r="F221" s="12"/>
      <c r="G221" s="12"/>
    </row>
    <row r="222" spans="5:7" ht="13.2">
      <c r="E222" s="11"/>
      <c r="F222" s="12"/>
      <c r="G222" s="12"/>
    </row>
    <row r="223" spans="5:7" ht="13.2">
      <c r="E223" s="11"/>
      <c r="F223" s="12"/>
      <c r="G223" s="12"/>
    </row>
    <row r="224" spans="5:7" ht="13.2">
      <c r="E224" s="11"/>
      <c r="F224" s="12"/>
      <c r="G224" s="12"/>
    </row>
    <row r="225" spans="5:7" ht="13.2">
      <c r="E225" s="11"/>
      <c r="F225" s="12"/>
      <c r="G225" s="12"/>
    </row>
    <row r="226" spans="5:7" ht="13.2">
      <c r="E226" s="11"/>
      <c r="F226" s="12"/>
      <c r="G226" s="12"/>
    </row>
    <row r="227" spans="5:7" ht="13.2">
      <c r="E227" s="11"/>
      <c r="F227" s="12"/>
      <c r="G227" s="12"/>
    </row>
    <row r="228" spans="5:7" ht="13.2">
      <c r="E228" s="11"/>
      <c r="F228" s="12"/>
      <c r="G228" s="12"/>
    </row>
    <row r="229" spans="5:7" ht="13.2">
      <c r="E229" s="11"/>
      <c r="F229" s="12"/>
      <c r="G229" s="12"/>
    </row>
    <row r="230" spans="5:7" ht="13.2">
      <c r="E230" s="11"/>
      <c r="F230" s="12"/>
      <c r="G230" s="12"/>
    </row>
    <row r="231" spans="5:7" ht="13.2">
      <c r="E231" s="11"/>
      <c r="F231" s="12"/>
      <c r="G231" s="12"/>
    </row>
    <row r="232" spans="5:7" ht="13.2">
      <c r="E232" s="11"/>
      <c r="F232" s="12"/>
      <c r="G232" s="12"/>
    </row>
    <row r="233" spans="5:7" ht="13.2">
      <c r="E233" s="11"/>
      <c r="F233" s="12"/>
      <c r="G233" s="12"/>
    </row>
    <row r="234" spans="5:7" ht="13.2">
      <c r="E234" s="11"/>
      <c r="F234" s="12"/>
      <c r="G234" s="12"/>
    </row>
    <row r="235" spans="5:7" ht="13.2">
      <c r="E235" s="11"/>
      <c r="F235" s="12"/>
      <c r="G235" s="12"/>
    </row>
    <row r="236" spans="5:7" ht="13.2">
      <c r="E236" s="11"/>
      <c r="F236" s="12"/>
      <c r="G236" s="12"/>
    </row>
    <row r="237" spans="5:7" ht="13.2">
      <c r="E237" s="11"/>
      <c r="F237" s="12"/>
      <c r="G237" s="12"/>
    </row>
    <row r="238" spans="5:7" ht="13.2">
      <c r="E238" s="11"/>
      <c r="F238" s="12"/>
      <c r="G238" s="12"/>
    </row>
    <row r="239" spans="5:7" ht="13.2">
      <c r="E239" s="11"/>
      <c r="F239" s="12"/>
      <c r="G239" s="12"/>
    </row>
    <row r="240" spans="5:7" ht="13.2">
      <c r="E240" s="11"/>
      <c r="F240" s="12"/>
      <c r="G240" s="12"/>
    </row>
    <row r="241" spans="5:7" ht="13.2">
      <c r="E241" s="11"/>
      <c r="F241" s="12"/>
      <c r="G241" s="12"/>
    </row>
    <row r="242" spans="5:7" ht="13.2">
      <c r="E242" s="11"/>
      <c r="F242" s="12"/>
      <c r="G242" s="12"/>
    </row>
    <row r="243" spans="5:7" ht="13.2">
      <c r="E243" s="11"/>
      <c r="F243" s="12"/>
      <c r="G243" s="12"/>
    </row>
    <row r="244" spans="5:7" ht="13.2">
      <c r="E244" s="11"/>
      <c r="F244" s="12"/>
      <c r="G244" s="12"/>
    </row>
    <row r="245" spans="5:7" ht="13.2">
      <c r="E245" s="11"/>
      <c r="F245" s="12"/>
      <c r="G245" s="12"/>
    </row>
    <row r="246" spans="5:7" ht="13.2">
      <c r="E246" s="11"/>
      <c r="F246" s="12"/>
      <c r="G246" s="12"/>
    </row>
    <row r="247" spans="5:7" ht="13.2">
      <c r="E247" s="11"/>
      <c r="F247" s="12"/>
      <c r="G247" s="12"/>
    </row>
    <row r="248" spans="5:7" ht="13.2">
      <c r="E248" s="11"/>
      <c r="F248" s="12"/>
      <c r="G248" s="12"/>
    </row>
    <row r="249" spans="5:7" ht="13.2">
      <c r="E249" s="11"/>
      <c r="F249" s="12"/>
      <c r="G249" s="12"/>
    </row>
    <row r="250" spans="5:7" ht="13.2">
      <c r="E250" s="11"/>
      <c r="F250" s="12"/>
      <c r="G250" s="12"/>
    </row>
    <row r="251" spans="5:7" ht="13.2">
      <c r="E251" s="11"/>
      <c r="F251" s="12"/>
      <c r="G251" s="12"/>
    </row>
    <row r="252" spans="5:7" ht="13.2">
      <c r="E252" s="11"/>
      <c r="F252" s="12"/>
      <c r="G252" s="12"/>
    </row>
    <row r="253" spans="5:7" ht="13.2">
      <c r="E253" s="11"/>
      <c r="F253" s="12"/>
      <c r="G253" s="12"/>
    </row>
    <row r="254" spans="5:7" ht="13.2">
      <c r="E254" s="11"/>
      <c r="F254" s="12"/>
      <c r="G254" s="12"/>
    </row>
    <row r="255" spans="5:7" ht="13.2">
      <c r="E255" s="11"/>
      <c r="F255" s="12"/>
      <c r="G255" s="12"/>
    </row>
    <row r="256" spans="5:7" ht="13.2">
      <c r="E256" s="11"/>
      <c r="F256" s="12"/>
      <c r="G256" s="12"/>
    </row>
    <row r="257" spans="5:7" ht="13.2">
      <c r="E257" s="11"/>
      <c r="F257" s="12"/>
      <c r="G257" s="12"/>
    </row>
    <row r="258" spans="5:7" ht="13.2">
      <c r="E258" s="11"/>
      <c r="F258" s="12"/>
      <c r="G258" s="12"/>
    </row>
    <row r="259" spans="5:7" ht="13.2">
      <c r="E259" s="11"/>
      <c r="F259" s="12"/>
      <c r="G259" s="12"/>
    </row>
    <row r="260" spans="5:7" ht="13.2">
      <c r="E260" s="11"/>
      <c r="F260" s="12"/>
      <c r="G260" s="12"/>
    </row>
    <row r="261" spans="5:7" ht="13.2">
      <c r="E261" s="11"/>
      <c r="F261" s="12"/>
      <c r="G261" s="12"/>
    </row>
    <row r="262" spans="5:7" ht="13.2">
      <c r="E262" s="11"/>
      <c r="F262" s="12"/>
      <c r="G262" s="12"/>
    </row>
    <row r="263" spans="5:7" ht="13.2">
      <c r="E263" s="11"/>
      <c r="F263" s="12"/>
      <c r="G263" s="12"/>
    </row>
    <row r="264" spans="5:7" ht="13.2">
      <c r="E264" s="11"/>
      <c r="F264" s="12"/>
      <c r="G264" s="12"/>
    </row>
    <row r="265" spans="5:7" ht="13.2">
      <c r="E265" s="11"/>
      <c r="F265" s="12"/>
      <c r="G265" s="12"/>
    </row>
    <row r="266" spans="5:7" ht="13.2">
      <c r="E266" s="11"/>
      <c r="F266" s="12"/>
      <c r="G266" s="12"/>
    </row>
    <row r="267" spans="5:7" ht="13.2">
      <c r="E267" s="11"/>
      <c r="F267" s="12"/>
      <c r="G267" s="12"/>
    </row>
    <row r="268" spans="5:7" ht="13.2">
      <c r="E268" s="11"/>
      <c r="F268" s="12"/>
      <c r="G268" s="12"/>
    </row>
    <row r="269" spans="5:7" ht="13.2">
      <c r="E269" s="11"/>
      <c r="F269" s="12"/>
      <c r="G269" s="12"/>
    </row>
    <row r="270" spans="5:7" ht="13.2">
      <c r="E270" s="11"/>
      <c r="F270" s="12"/>
      <c r="G270" s="12"/>
    </row>
    <row r="271" spans="5:7" ht="13.2">
      <c r="E271" s="11"/>
      <c r="F271" s="12"/>
      <c r="G271" s="12"/>
    </row>
    <row r="272" spans="5:7" ht="13.2">
      <c r="E272" s="11"/>
      <c r="F272" s="12"/>
      <c r="G272" s="12"/>
    </row>
    <row r="273" spans="5:7" ht="13.2">
      <c r="E273" s="11"/>
      <c r="F273" s="12"/>
      <c r="G273" s="12"/>
    </row>
    <row r="274" spans="5:7" ht="13.2">
      <c r="E274" s="11"/>
      <c r="F274" s="12"/>
      <c r="G274" s="12"/>
    </row>
    <row r="275" spans="5:7" ht="13.2">
      <c r="E275" s="11"/>
      <c r="F275" s="12"/>
      <c r="G275" s="12"/>
    </row>
    <row r="276" spans="5:7" ht="13.2">
      <c r="E276" s="11"/>
      <c r="F276" s="12"/>
      <c r="G276" s="12"/>
    </row>
    <row r="277" spans="5:7" ht="13.2">
      <c r="E277" s="11"/>
      <c r="F277" s="12"/>
      <c r="G277" s="12"/>
    </row>
    <row r="278" spans="5:7" ht="13.2">
      <c r="E278" s="11"/>
      <c r="F278" s="12"/>
      <c r="G278" s="12"/>
    </row>
    <row r="279" spans="5:7" ht="13.2">
      <c r="E279" s="11"/>
      <c r="F279" s="12"/>
      <c r="G279" s="12"/>
    </row>
    <row r="280" spans="5:7" ht="13.2">
      <c r="E280" s="11"/>
      <c r="F280" s="12"/>
      <c r="G280" s="12"/>
    </row>
    <row r="281" spans="5:7" ht="13.2">
      <c r="E281" s="11"/>
      <c r="F281" s="12"/>
      <c r="G281" s="12"/>
    </row>
    <row r="282" spans="5:7" ht="13.2">
      <c r="E282" s="11"/>
      <c r="F282" s="12"/>
      <c r="G282" s="12"/>
    </row>
    <row r="283" spans="5:7" ht="13.2">
      <c r="E283" s="11"/>
      <c r="F283" s="12"/>
      <c r="G283" s="12"/>
    </row>
    <row r="284" spans="5:7" ht="13.2">
      <c r="E284" s="11"/>
      <c r="F284" s="12"/>
      <c r="G284" s="12"/>
    </row>
    <row r="285" spans="5:7" ht="13.2">
      <c r="E285" s="11"/>
      <c r="F285" s="12"/>
      <c r="G285" s="12"/>
    </row>
    <row r="286" spans="5:7" ht="13.2">
      <c r="E286" s="11"/>
      <c r="F286" s="12"/>
      <c r="G286" s="12"/>
    </row>
    <row r="287" spans="5:7" ht="13.2">
      <c r="E287" s="11"/>
      <c r="F287" s="12"/>
      <c r="G287" s="12"/>
    </row>
    <row r="288" spans="5:7" ht="13.2">
      <c r="E288" s="11"/>
      <c r="F288" s="12"/>
      <c r="G288" s="12"/>
    </row>
    <row r="289" spans="5:7" ht="13.2">
      <c r="E289" s="11"/>
      <c r="F289" s="12"/>
      <c r="G289" s="12"/>
    </row>
    <row r="290" spans="5:7" ht="13.2">
      <c r="E290" s="11"/>
      <c r="F290" s="12"/>
      <c r="G290" s="12"/>
    </row>
    <row r="291" spans="5:7" ht="13.2">
      <c r="E291" s="11"/>
      <c r="F291" s="12"/>
      <c r="G291" s="12"/>
    </row>
    <row r="292" spans="5:7" ht="13.2">
      <c r="E292" s="11"/>
      <c r="F292" s="12"/>
      <c r="G292" s="12"/>
    </row>
    <row r="293" spans="5:7" ht="13.2">
      <c r="E293" s="11"/>
      <c r="F293" s="12"/>
      <c r="G293" s="12"/>
    </row>
    <row r="294" spans="5:7" ht="13.2">
      <c r="E294" s="11"/>
      <c r="F294" s="12"/>
      <c r="G294" s="12"/>
    </row>
    <row r="295" spans="5:7" ht="13.2">
      <c r="E295" s="11"/>
      <c r="F295" s="12"/>
      <c r="G295" s="12"/>
    </row>
    <row r="296" spans="5:7" ht="13.2">
      <c r="E296" s="11"/>
      <c r="F296" s="12"/>
      <c r="G296" s="12"/>
    </row>
    <row r="297" spans="5:7" ht="13.2">
      <c r="E297" s="11"/>
      <c r="F297" s="12"/>
      <c r="G297" s="12"/>
    </row>
    <row r="298" spans="5:7" ht="13.2">
      <c r="E298" s="11"/>
      <c r="F298" s="12"/>
      <c r="G298" s="12"/>
    </row>
    <row r="299" spans="5:7" ht="13.2">
      <c r="E299" s="11"/>
      <c r="F299" s="12"/>
      <c r="G299" s="12"/>
    </row>
    <row r="300" spans="5:7" ht="13.2">
      <c r="E300" s="11"/>
      <c r="F300" s="12"/>
      <c r="G300" s="12"/>
    </row>
    <row r="301" spans="5:7" ht="13.2">
      <c r="E301" s="11"/>
      <c r="F301" s="12"/>
      <c r="G301" s="12"/>
    </row>
    <row r="302" spans="5:7" ht="13.2">
      <c r="E302" s="11"/>
      <c r="F302" s="12"/>
      <c r="G302" s="12"/>
    </row>
    <row r="303" spans="5:7" ht="13.2">
      <c r="E303" s="11"/>
      <c r="F303" s="12"/>
      <c r="G303" s="12"/>
    </row>
    <row r="304" spans="5:7" ht="13.2">
      <c r="E304" s="11"/>
      <c r="F304" s="12"/>
      <c r="G304" s="12"/>
    </row>
    <row r="305" spans="5:7" ht="13.2">
      <c r="E305" s="11"/>
      <c r="F305" s="12"/>
      <c r="G305" s="12"/>
    </row>
    <row r="306" spans="5:7" ht="13.2">
      <c r="E306" s="11"/>
      <c r="F306" s="12"/>
      <c r="G306" s="12"/>
    </row>
    <row r="307" spans="5:7" ht="13.2">
      <c r="E307" s="11"/>
      <c r="F307" s="12"/>
      <c r="G307" s="12"/>
    </row>
    <row r="308" spans="5:7" ht="13.2">
      <c r="E308" s="11"/>
      <c r="F308" s="12"/>
      <c r="G308" s="12"/>
    </row>
    <row r="309" spans="5:7" ht="13.2">
      <c r="E309" s="11"/>
      <c r="F309" s="12"/>
      <c r="G309" s="12"/>
    </row>
    <row r="310" spans="5:7" ht="13.2">
      <c r="E310" s="11"/>
      <c r="F310" s="12"/>
      <c r="G310" s="12"/>
    </row>
    <row r="311" spans="5:7" ht="13.2">
      <c r="E311" s="11"/>
      <c r="F311" s="12"/>
      <c r="G311" s="12"/>
    </row>
    <row r="312" spans="5:7" ht="13.2">
      <c r="E312" s="11"/>
      <c r="F312" s="12"/>
      <c r="G312" s="12"/>
    </row>
    <row r="313" spans="5:7" ht="13.2">
      <c r="E313" s="11"/>
      <c r="F313" s="12"/>
      <c r="G313" s="12"/>
    </row>
    <row r="314" spans="5:7" ht="13.2">
      <c r="E314" s="11"/>
      <c r="F314" s="12"/>
      <c r="G314" s="12"/>
    </row>
    <row r="315" spans="5:7" ht="13.2">
      <c r="E315" s="11"/>
      <c r="F315" s="12"/>
      <c r="G315" s="12"/>
    </row>
    <row r="316" spans="5:7" ht="13.2">
      <c r="E316" s="11"/>
      <c r="F316" s="12"/>
      <c r="G316" s="12"/>
    </row>
    <row r="317" spans="5:7" ht="13.2">
      <c r="E317" s="11"/>
      <c r="F317" s="12"/>
      <c r="G317" s="12"/>
    </row>
    <row r="318" spans="5:7" ht="13.2">
      <c r="E318" s="11"/>
      <c r="F318" s="12"/>
      <c r="G318" s="12"/>
    </row>
    <row r="319" spans="5:7" ht="13.2">
      <c r="E319" s="11"/>
      <c r="F319" s="12"/>
      <c r="G319" s="12"/>
    </row>
    <row r="320" spans="5:7" ht="13.2">
      <c r="E320" s="11"/>
      <c r="F320" s="12"/>
      <c r="G320" s="12"/>
    </row>
    <row r="321" spans="5:7" ht="13.2">
      <c r="E321" s="11"/>
      <c r="F321" s="12"/>
      <c r="G321" s="12"/>
    </row>
    <row r="322" spans="5:7" ht="13.2">
      <c r="E322" s="11"/>
      <c r="F322" s="12"/>
      <c r="G322" s="12"/>
    </row>
    <row r="323" spans="5:7" ht="13.2">
      <c r="E323" s="11"/>
      <c r="F323" s="12"/>
      <c r="G323" s="12"/>
    </row>
    <row r="324" spans="5:7" ht="13.2">
      <c r="E324" s="11"/>
      <c r="F324" s="12"/>
      <c r="G324" s="12"/>
    </row>
    <row r="325" spans="5:7" ht="13.2">
      <c r="E325" s="11"/>
      <c r="F325" s="12"/>
      <c r="G325" s="12"/>
    </row>
    <row r="326" spans="5:7" ht="13.2">
      <c r="E326" s="11"/>
      <c r="F326" s="12"/>
      <c r="G326" s="12"/>
    </row>
    <row r="327" spans="5:7" ht="13.2">
      <c r="E327" s="11"/>
      <c r="F327" s="12"/>
      <c r="G327" s="12"/>
    </row>
    <row r="328" spans="5:7" ht="13.2">
      <c r="E328" s="11"/>
      <c r="F328" s="12"/>
      <c r="G328" s="12"/>
    </row>
    <row r="329" spans="5:7" ht="13.2">
      <c r="E329" s="11"/>
      <c r="F329" s="12"/>
      <c r="G329" s="12"/>
    </row>
    <row r="330" spans="5:7" ht="13.2">
      <c r="E330" s="11"/>
      <c r="F330" s="12"/>
      <c r="G330" s="12"/>
    </row>
    <row r="331" spans="5:7" ht="13.2">
      <c r="E331" s="11"/>
      <c r="F331" s="12"/>
      <c r="G331" s="12"/>
    </row>
    <row r="332" spans="5:7" ht="13.2">
      <c r="E332" s="11"/>
      <c r="F332" s="12"/>
      <c r="G332" s="12"/>
    </row>
    <row r="333" spans="5:7" ht="13.2">
      <c r="E333" s="11"/>
      <c r="F333" s="12"/>
      <c r="G333" s="12"/>
    </row>
    <row r="334" spans="5:7" ht="13.2">
      <c r="E334" s="11"/>
      <c r="F334" s="12"/>
      <c r="G334" s="12"/>
    </row>
    <row r="335" spans="5:7" ht="13.2">
      <c r="E335" s="11"/>
      <c r="F335" s="12"/>
      <c r="G335" s="12"/>
    </row>
    <row r="336" spans="5:7" ht="13.2">
      <c r="E336" s="11"/>
      <c r="F336" s="12"/>
      <c r="G336" s="12"/>
    </row>
    <row r="337" spans="5:7" ht="13.2">
      <c r="E337" s="11"/>
      <c r="F337" s="12"/>
      <c r="G337" s="12"/>
    </row>
    <row r="338" spans="5:7" ht="13.2">
      <c r="E338" s="11"/>
      <c r="F338" s="12"/>
      <c r="G338" s="12"/>
    </row>
    <row r="339" spans="5:7" ht="13.2">
      <c r="E339" s="11"/>
      <c r="F339" s="12"/>
      <c r="G339" s="12"/>
    </row>
    <row r="340" spans="5:7" ht="13.2">
      <c r="E340" s="11"/>
      <c r="F340" s="12"/>
      <c r="G340" s="12"/>
    </row>
    <row r="341" spans="5:7" ht="13.2">
      <c r="E341" s="11"/>
      <c r="F341" s="12"/>
      <c r="G341" s="12"/>
    </row>
    <row r="342" spans="5:7" ht="13.2">
      <c r="E342" s="11"/>
      <c r="F342" s="12"/>
      <c r="G342" s="12"/>
    </row>
    <row r="343" spans="5:7" ht="13.2">
      <c r="E343" s="11"/>
      <c r="F343" s="12"/>
      <c r="G343" s="12"/>
    </row>
    <row r="344" spans="5:7" ht="13.2">
      <c r="E344" s="11"/>
      <c r="F344" s="12"/>
      <c r="G344" s="12"/>
    </row>
    <row r="345" spans="5:7" ht="13.2">
      <c r="E345" s="11"/>
      <c r="F345" s="12"/>
      <c r="G345" s="12"/>
    </row>
    <row r="346" spans="5:7" ht="13.2">
      <c r="E346" s="11"/>
      <c r="F346" s="12"/>
      <c r="G346" s="12"/>
    </row>
    <row r="347" spans="5:7" ht="13.2">
      <c r="E347" s="11"/>
      <c r="F347" s="12"/>
      <c r="G347" s="12"/>
    </row>
    <row r="348" spans="5:7" ht="13.2">
      <c r="E348" s="11"/>
      <c r="F348" s="12"/>
      <c r="G348" s="12"/>
    </row>
    <row r="349" spans="5:7" ht="13.2">
      <c r="E349" s="11"/>
      <c r="F349" s="12"/>
      <c r="G349" s="12"/>
    </row>
    <row r="350" spans="5:7" ht="13.2">
      <c r="E350" s="11"/>
      <c r="F350" s="12"/>
      <c r="G350" s="12"/>
    </row>
    <row r="351" spans="5:7" ht="13.2">
      <c r="E351" s="11"/>
      <c r="F351" s="12"/>
      <c r="G351" s="12"/>
    </row>
    <row r="352" spans="5:7" ht="13.2">
      <c r="E352" s="11"/>
      <c r="F352" s="12"/>
      <c r="G352" s="12"/>
    </row>
    <row r="353" spans="5:7" ht="13.2">
      <c r="E353" s="11"/>
      <c r="F353" s="12"/>
      <c r="G353" s="12"/>
    </row>
    <row r="354" spans="5:7" ht="13.2">
      <c r="E354" s="11"/>
      <c r="F354" s="12"/>
      <c r="G354" s="12"/>
    </row>
    <row r="355" spans="5:7" ht="13.2">
      <c r="E355" s="11"/>
      <c r="F355" s="12"/>
      <c r="G355" s="12"/>
    </row>
    <row r="356" spans="5:7" ht="13.2">
      <c r="E356" s="11"/>
      <c r="F356" s="12"/>
      <c r="G356" s="12"/>
    </row>
    <row r="357" spans="5:7" ht="13.2">
      <c r="E357" s="11"/>
      <c r="F357" s="12"/>
      <c r="G357" s="12"/>
    </row>
    <row r="358" spans="5:7" ht="13.2">
      <c r="E358" s="11"/>
      <c r="F358" s="12"/>
      <c r="G358" s="12"/>
    </row>
    <row r="359" spans="5:7" ht="13.2">
      <c r="E359" s="11"/>
      <c r="F359" s="12"/>
      <c r="G359" s="12"/>
    </row>
    <row r="360" spans="5:7" ht="13.2">
      <c r="E360" s="11"/>
      <c r="F360" s="12"/>
      <c r="G360" s="12"/>
    </row>
    <row r="361" spans="5:7" ht="13.2">
      <c r="E361" s="11"/>
      <c r="F361" s="12"/>
      <c r="G361" s="12"/>
    </row>
    <row r="362" spans="5:7" ht="13.2">
      <c r="E362" s="11"/>
      <c r="F362" s="12"/>
      <c r="G362" s="12"/>
    </row>
    <row r="363" spans="5:7" ht="13.2">
      <c r="E363" s="11"/>
      <c r="F363" s="12"/>
      <c r="G363" s="12"/>
    </row>
    <row r="364" spans="5:7" ht="13.2">
      <c r="E364" s="11"/>
      <c r="F364" s="12"/>
      <c r="G364" s="12"/>
    </row>
    <row r="365" spans="5:7" ht="13.2">
      <c r="E365" s="11"/>
      <c r="F365" s="12"/>
      <c r="G365" s="12"/>
    </row>
    <row r="366" spans="5:7" ht="13.2">
      <c r="E366" s="11"/>
      <c r="F366" s="12"/>
      <c r="G366" s="12"/>
    </row>
    <row r="367" spans="5:7" ht="13.2">
      <c r="E367" s="11"/>
      <c r="F367" s="12"/>
      <c r="G367" s="12"/>
    </row>
    <row r="368" spans="5:7" ht="13.2">
      <c r="E368" s="11"/>
      <c r="F368" s="12"/>
      <c r="G368" s="12"/>
    </row>
    <row r="369" spans="5:7" ht="13.2">
      <c r="E369" s="11"/>
      <c r="F369" s="12"/>
      <c r="G369" s="12"/>
    </row>
    <row r="370" spans="5:7" ht="13.2">
      <c r="E370" s="11"/>
      <c r="F370" s="12"/>
      <c r="G370" s="12"/>
    </row>
    <row r="371" spans="5:7" ht="13.2">
      <c r="E371" s="11"/>
      <c r="F371" s="12"/>
      <c r="G371" s="12"/>
    </row>
    <row r="372" spans="5:7" ht="13.2">
      <c r="E372" s="11"/>
      <c r="F372" s="12"/>
      <c r="G372" s="12"/>
    </row>
    <row r="373" spans="5:7" ht="13.2">
      <c r="E373" s="11"/>
      <c r="F373" s="12"/>
      <c r="G373" s="12"/>
    </row>
    <row r="374" spans="5:7" ht="13.2">
      <c r="E374" s="11"/>
      <c r="F374" s="12"/>
      <c r="G374" s="12"/>
    </row>
    <row r="375" spans="5:7" ht="13.2">
      <c r="E375" s="11"/>
      <c r="F375" s="12"/>
      <c r="G375" s="12"/>
    </row>
    <row r="376" spans="5:7" ht="13.2">
      <c r="E376" s="11"/>
      <c r="F376" s="12"/>
      <c r="G376" s="12"/>
    </row>
    <row r="377" spans="5:7" ht="13.2">
      <c r="E377" s="11"/>
      <c r="F377" s="12"/>
      <c r="G377" s="12"/>
    </row>
    <row r="378" spans="5:7" ht="13.2">
      <c r="E378" s="11"/>
      <c r="F378" s="12"/>
      <c r="G378" s="12"/>
    </row>
    <row r="379" spans="5:7" ht="13.2">
      <c r="E379" s="11"/>
      <c r="F379" s="12"/>
      <c r="G379" s="12"/>
    </row>
    <row r="380" spans="5:7" ht="13.2">
      <c r="E380" s="11"/>
      <c r="F380" s="12"/>
      <c r="G380" s="12"/>
    </row>
    <row r="381" spans="5:7" ht="13.2">
      <c r="E381" s="11"/>
      <c r="F381" s="12"/>
      <c r="G381" s="12"/>
    </row>
    <row r="382" spans="5:7" ht="13.2">
      <c r="E382" s="11"/>
      <c r="F382" s="12"/>
      <c r="G382" s="12"/>
    </row>
    <row r="383" spans="5:7" ht="13.2">
      <c r="E383" s="11"/>
      <c r="F383" s="12"/>
      <c r="G383" s="12"/>
    </row>
    <row r="384" spans="5:7" ht="13.2">
      <c r="E384" s="11"/>
      <c r="F384" s="12"/>
      <c r="G384" s="12"/>
    </row>
    <row r="385" spans="5:7" ht="13.2">
      <c r="E385" s="11"/>
      <c r="F385" s="12"/>
      <c r="G385" s="12"/>
    </row>
    <row r="386" spans="5:7" ht="13.2">
      <c r="E386" s="11"/>
      <c r="F386" s="12"/>
      <c r="G386" s="12"/>
    </row>
    <row r="387" spans="5:7" ht="13.2">
      <c r="E387" s="11"/>
      <c r="F387" s="12"/>
      <c r="G387" s="12"/>
    </row>
    <row r="388" spans="5:7" ht="13.2">
      <c r="E388" s="11"/>
      <c r="F388" s="12"/>
      <c r="G388" s="12"/>
    </row>
    <row r="389" spans="5:7" ht="13.2">
      <c r="E389" s="11"/>
      <c r="F389" s="12"/>
      <c r="G389" s="12"/>
    </row>
    <row r="390" spans="5:7" ht="13.2">
      <c r="E390" s="11"/>
      <c r="F390" s="12"/>
      <c r="G390" s="12"/>
    </row>
    <row r="391" spans="5:7" ht="13.2">
      <c r="E391" s="11"/>
      <c r="F391" s="12"/>
      <c r="G391" s="12"/>
    </row>
    <row r="392" spans="5:7" ht="13.2">
      <c r="E392" s="11"/>
      <c r="F392" s="12"/>
      <c r="G392" s="12"/>
    </row>
    <row r="393" spans="5:7" ht="13.2">
      <c r="E393" s="11"/>
      <c r="F393" s="12"/>
      <c r="G393" s="12"/>
    </row>
    <row r="394" spans="5:7" ht="13.2">
      <c r="E394" s="11"/>
      <c r="F394" s="12"/>
      <c r="G394" s="12"/>
    </row>
    <row r="395" spans="5:7" ht="13.2">
      <c r="E395" s="11"/>
      <c r="F395" s="12"/>
      <c r="G395" s="12"/>
    </row>
    <row r="396" spans="5:7" ht="13.2">
      <c r="E396" s="11"/>
      <c r="F396" s="12"/>
      <c r="G396" s="12"/>
    </row>
    <row r="397" spans="5:7" ht="13.2">
      <c r="E397" s="11"/>
      <c r="F397" s="12"/>
      <c r="G397" s="12"/>
    </row>
    <row r="398" spans="5:7" ht="13.2">
      <c r="E398" s="11"/>
      <c r="F398" s="12"/>
      <c r="G398" s="12"/>
    </row>
    <row r="399" spans="5:7" ht="13.2">
      <c r="E399" s="11"/>
      <c r="F399" s="12"/>
      <c r="G399" s="12"/>
    </row>
    <row r="400" spans="5:7" ht="13.2">
      <c r="E400" s="11"/>
      <c r="F400" s="12"/>
      <c r="G400" s="12"/>
    </row>
    <row r="401" spans="5:7" ht="13.2">
      <c r="E401" s="11"/>
      <c r="F401" s="12"/>
      <c r="G401" s="12"/>
    </row>
    <row r="402" spans="5:7" ht="13.2">
      <c r="E402" s="11"/>
      <c r="F402" s="12"/>
      <c r="G402" s="12"/>
    </row>
    <row r="403" spans="5:7" ht="13.2">
      <c r="E403" s="11"/>
      <c r="F403" s="12"/>
      <c r="G403" s="12"/>
    </row>
    <row r="404" spans="5:7" ht="13.2">
      <c r="E404" s="11"/>
      <c r="F404" s="12"/>
      <c r="G404" s="12"/>
    </row>
    <row r="405" spans="5:7" ht="13.2">
      <c r="E405" s="11"/>
      <c r="F405" s="12"/>
      <c r="G405" s="12"/>
    </row>
    <row r="406" spans="5:7" ht="13.2">
      <c r="E406" s="11"/>
      <c r="F406" s="12"/>
      <c r="G406" s="12"/>
    </row>
    <row r="407" spans="5:7" ht="13.2">
      <c r="E407" s="11"/>
      <c r="F407" s="12"/>
      <c r="G407" s="12"/>
    </row>
    <row r="408" spans="5:7" ht="13.2">
      <c r="E408" s="11"/>
      <c r="F408" s="12"/>
      <c r="G408" s="12"/>
    </row>
    <row r="409" spans="5:7" ht="13.2">
      <c r="E409" s="11"/>
      <c r="F409" s="12"/>
      <c r="G409" s="12"/>
    </row>
    <row r="410" spans="5:7" ht="13.2">
      <c r="E410" s="11"/>
      <c r="F410" s="12"/>
      <c r="G410" s="12"/>
    </row>
    <row r="411" spans="5:7" ht="13.2">
      <c r="E411" s="11"/>
      <c r="F411" s="12"/>
      <c r="G411" s="12"/>
    </row>
    <row r="412" spans="5:7" ht="13.2">
      <c r="E412" s="11"/>
      <c r="F412" s="12"/>
      <c r="G412" s="12"/>
    </row>
    <row r="413" spans="5:7" ht="13.2">
      <c r="E413" s="11"/>
      <c r="F413" s="12"/>
      <c r="G413" s="12"/>
    </row>
    <row r="414" spans="5:7" ht="13.2">
      <c r="E414" s="11"/>
      <c r="F414" s="12"/>
      <c r="G414" s="12"/>
    </row>
    <row r="415" spans="5:7" ht="13.2">
      <c r="E415" s="11"/>
      <c r="F415" s="12"/>
      <c r="G415" s="12"/>
    </row>
    <row r="416" spans="5:7" ht="13.2">
      <c r="E416" s="11"/>
      <c r="F416" s="12"/>
      <c r="G416" s="12"/>
    </row>
    <row r="417" spans="5:7" ht="13.2">
      <c r="E417" s="11"/>
      <c r="F417" s="12"/>
      <c r="G417" s="12"/>
    </row>
    <row r="418" spans="5:7" ht="13.2">
      <c r="E418" s="11"/>
      <c r="F418" s="12"/>
      <c r="G418" s="12"/>
    </row>
    <row r="419" spans="5:7" ht="13.2">
      <c r="E419" s="11"/>
      <c r="F419" s="12"/>
      <c r="G419" s="12"/>
    </row>
    <row r="420" spans="5:7" ht="13.2">
      <c r="E420" s="11"/>
      <c r="F420" s="12"/>
      <c r="G420" s="12"/>
    </row>
    <row r="421" spans="5:7" ht="13.2">
      <c r="E421" s="11"/>
      <c r="F421" s="12"/>
      <c r="G421" s="12"/>
    </row>
    <row r="422" spans="5:7" ht="13.2">
      <c r="E422" s="11"/>
      <c r="F422" s="12"/>
      <c r="G422" s="12"/>
    </row>
    <row r="423" spans="5:7" ht="13.2">
      <c r="E423" s="11"/>
      <c r="F423" s="12"/>
      <c r="G423" s="12"/>
    </row>
    <row r="424" spans="5:7" ht="13.2">
      <c r="E424" s="11"/>
      <c r="F424" s="12"/>
      <c r="G424" s="12"/>
    </row>
    <row r="425" spans="5:7" ht="13.2">
      <c r="E425" s="11"/>
      <c r="F425" s="12"/>
      <c r="G425" s="12"/>
    </row>
    <row r="426" spans="5:7" ht="13.2">
      <c r="E426" s="11"/>
      <c r="F426" s="12"/>
      <c r="G426" s="12"/>
    </row>
    <row r="427" spans="5:7" ht="13.2">
      <c r="E427" s="11"/>
      <c r="F427" s="12"/>
      <c r="G427" s="12"/>
    </row>
    <row r="428" spans="5:7" ht="13.2">
      <c r="E428" s="11"/>
      <c r="F428" s="12"/>
      <c r="G428" s="12"/>
    </row>
    <row r="429" spans="5:7" ht="13.2">
      <c r="E429" s="11"/>
      <c r="F429" s="12"/>
      <c r="G429" s="12"/>
    </row>
    <row r="430" spans="5:7" ht="13.2">
      <c r="E430" s="11"/>
      <c r="F430" s="12"/>
      <c r="G430" s="12"/>
    </row>
    <row r="431" spans="5:7" ht="13.2">
      <c r="E431" s="11"/>
      <c r="F431" s="12"/>
      <c r="G431" s="12"/>
    </row>
    <row r="432" spans="5:7" ht="13.2">
      <c r="E432" s="11"/>
      <c r="F432" s="12"/>
      <c r="G432" s="12"/>
    </row>
    <row r="433" spans="5:7" ht="13.2">
      <c r="E433" s="11"/>
      <c r="F433" s="12"/>
      <c r="G433" s="12"/>
    </row>
    <row r="434" spans="5:7" ht="13.2">
      <c r="E434" s="11"/>
      <c r="F434" s="12"/>
      <c r="G434" s="12"/>
    </row>
    <row r="435" spans="5:7" ht="13.2">
      <c r="E435" s="11"/>
      <c r="F435" s="12"/>
      <c r="G435" s="12"/>
    </row>
    <row r="436" spans="5:7" ht="13.2">
      <c r="E436" s="11"/>
      <c r="F436" s="12"/>
      <c r="G436" s="12"/>
    </row>
    <row r="437" spans="5:7" ht="13.2">
      <c r="E437" s="11"/>
      <c r="F437" s="12"/>
      <c r="G437" s="12"/>
    </row>
    <row r="438" spans="5:7" ht="13.2">
      <c r="E438" s="11"/>
      <c r="F438" s="12"/>
      <c r="G438" s="12"/>
    </row>
    <row r="439" spans="5:7" ht="13.2">
      <c r="E439" s="11"/>
      <c r="F439" s="12"/>
      <c r="G439" s="12"/>
    </row>
    <row r="440" spans="5:7" ht="13.2">
      <c r="E440" s="11"/>
      <c r="F440" s="12"/>
      <c r="G440" s="12"/>
    </row>
    <row r="441" spans="5:7" ht="13.2">
      <c r="E441" s="11"/>
      <c r="F441" s="12"/>
      <c r="G441" s="12"/>
    </row>
    <row r="442" spans="5:7" ht="13.2">
      <c r="E442" s="11"/>
      <c r="F442" s="12"/>
      <c r="G442" s="12"/>
    </row>
    <row r="443" spans="5:7" ht="13.2">
      <c r="E443" s="11"/>
      <c r="F443" s="12"/>
      <c r="G443" s="12"/>
    </row>
    <row r="444" spans="5:7" ht="13.2">
      <c r="E444" s="11"/>
      <c r="F444" s="12"/>
      <c r="G444" s="12"/>
    </row>
    <row r="445" spans="5:7" ht="13.2">
      <c r="E445" s="11"/>
      <c r="F445" s="12"/>
      <c r="G445" s="12"/>
    </row>
    <row r="446" spans="5:7" ht="13.2">
      <c r="E446" s="11"/>
      <c r="F446" s="12"/>
      <c r="G446" s="12"/>
    </row>
    <row r="447" spans="5:7" ht="13.2">
      <c r="E447" s="11"/>
      <c r="F447" s="12"/>
      <c r="G447" s="12"/>
    </row>
    <row r="448" spans="5:7" ht="13.2">
      <c r="E448" s="11"/>
      <c r="F448" s="12"/>
      <c r="G448" s="12"/>
    </row>
    <row r="449" spans="5:7" ht="13.2">
      <c r="E449" s="11"/>
      <c r="F449" s="12"/>
      <c r="G449" s="12"/>
    </row>
    <row r="450" spans="5:7" ht="13.2">
      <c r="E450" s="11"/>
      <c r="F450" s="12"/>
      <c r="G450" s="12"/>
    </row>
    <row r="451" spans="5:7" ht="13.2">
      <c r="E451" s="11"/>
      <c r="F451" s="12"/>
      <c r="G451" s="12"/>
    </row>
    <row r="452" spans="5:7" ht="13.2">
      <c r="E452" s="11"/>
      <c r="F452" s="12"/>
      <c r="G452" s="12"/>
    </row>
    <row r="453" spans="5:7" ht="13.2">
      <c r="E453" s="11"/>
      <c r="F453" s="12"/>
      <c r="G453" s="12"/>
    </row>
    <row r="454" spans="5:7" ht="13.2">
      <c r="E454" s="11"/>
      <c r="F454" s="12"/>
      <c r="G454" s="12"/>
    </row>
    <row r="455" spans="5:7" ht="13.2">
      <c r="E455" s="11"/>
      <c r="F455" s="12"/>
      <c r="G455" s="12"/>
    </row>
    <row r="456" spans="5:7" ht="13.2">
      <c r="E456" s="11"/>
      <c r="F456" s="12"/>
      <c r="G456" s="12"/>
    </row>
    <row r="457" spans="5:7" ht="13.2">
      <c r="E457" s="11"/>
      <c r="F457" s="12"/>
      <c r="G457" s="12"/>
    </row>
    <row r="458" spans="5:7" ht="13.2">
      <c r="E458" s="11"/>
      <c r="F458" s="12"/>
      <c r="G458" s="12"/>
    </row>
    <row r="459" spans="5:7" ht="13.2">
      <c r="E459" s="11"/>
      <c r="F459" s="12"/>
      <c r="G459" s="12"/>
    </row>
    <row r="460" spans="5:7" ht="13.2">
      <c r="E460" s="11"/>
      <c r="F460" s="12"/>
      <c r="G460" s="12"/>
    </row>
    <row r="461" spans="5:7" ht="13.2">
      <c r="E461" s="11"/>
      <c r="F461" s="12"/>
      <c r="G461" s="12"/>
    </row>
    <row r="462" spans="5:7" ht="13.2">
      <c r="E462" s="11"/>
      <c r="F462" s="12"/>
      <c r="G462" s="12"/>
    </row>
    <row r="463" spans="5:7" ht="13.2">
      <c r="E463" s="11"/>
      <c r="F463" s="12"/>
      <c r="G463" s="12"/>
    </row>
    <row r="464" spans="5:7" ht="13.2">
      <c r="E464" s="11"/>
      <c r="F464" s="12"/>
      <c r="G464" s="12"/>
    </row>
    <row r="465" spans="5:7" ht="13.2">
      <c r="E465" s="11"/>
      <c r="F465" s="12"/>
      <c r="G465" s="12"/>
    </row>
    <row r="466" spans="5:7" ht="13.2">
      <c r="E466" s="11"/>
      <c r="F466" s="12"/>
      <c r="G466" s="12"/>
    </row>
    <row r="467" spans="5:7" ht="13.2">
      <c r="E467" s="11"/>
      <c r="F467" s="12"/>
      <c r="G467" s="12"/>
    </row>
    <row r="468" spans="5:7" ht="13.2">
      <c r="E468" s="11"/>
      <c r="F468" s="12"/>
      <c r="G468" s="12"/>
    </row>
    <row r="469" spans="5:7" ht="13.2">
      <c r="E469" s="11"/>
      <c r="F469" s="12"/>
      <c r="G469" s="12"/>
    </row>
    <row r="470" spans="5:7" ht="13.2">
      <c r="E470" s="11"/>
      <c r="F470" s="12"/>
      <c r="G470" s="12"/>
    </row>
    <row r="471" spans="5:7" ht="13.2">
      <c r="E471" s="11"/>
      <c r="F471" s="12"/>
      <c r="G471" s="12"/>
    </row>
    <row r="472" spans="5:7" ht="13.2">
      <c r="E472" s="11"/>
      <c r="F472" s="12"/>
      <c r="G472" s="12"/>
    </row>
    <row r="473" spans="5:7" ht="13.2">
      <c r="E473" s="11"/>
      <c r="F473" s="12"/>
      <c r="G473" s="12"/>
    </row>
    <row r="474" spans="5:7" ht="13.2">
      <c r="E474" s="11"/>
      <c r="F474" s="12"/>
      <c r="G474" s="12"/>
    </row>
    <row r="475" spans="5:7" ht="13.2">
      <c r="E475" s="11"/>
      <c r="F475" s="12"/>
      <c r="G475" s="12"/>
    </row>
    <row r="476" spans="5:7" ht="13.2">
      <c r="E476" s="11"/>
      <c r="F476" s="12"/>
      <c r="G476" s="12"/>
    </row>
    <row r="477" spans="5:7" ht="13.2">
      <c r="E477" s="11"/>
      <c r="F477" s="12"/>
      <c r="G477" s="12"/>
    </row>
    <row r="478" spans="5:7" ht="13.2">
      <c r="E478" s="11"/>
      <c r="F478" s="12"/>
      <c r="G478" s="12"/>
    </row>
    <row r="479" spans="5:7" ht="13.2">
      <c r="E479" s="11"/>
      <c r="F479" s="12"/>
      <c r="G479" s="12"/>
    </row>
    <row r="480" spans="5:7" ht="13.2">
      <c r="E480" s="11"/>
      <c r="F480" s="12"/>
      <c r="G480" s="12"/>
    </row>
    <row r="481" spans="5:7" ht="13.2">
      <c r="E481" s="11"/>
      <c r="F481" s="12"/>
      <c r="G481" s="12"/>
    </row>
    <row r="482" spans="5:7" ht="13.2">
      <c r="E482" s="11"/>
      <c r="F482" s="12"/>
      <c r="G482" s="12"/>
    </row>
    <row r="483" spans="5:7" ht="13.2">
      <c r="E483" s="11"/>
      <c r="F483" s="12"/>
      <c r="G483" s="12"/>
    </row>
    <row r="484" spans="5:7" ht="13.2">
      <c r="E484" s="11"/>
      <c r="F484" s="12"/>
      <c r="G484" s="12"/>
    </row>
    <row r="485" spans="5:7" ht="13.2">
      <c r="E485" s="11"/>
      <c r="F485" s="12"/>
      <c r="G485" s="12"/>
    </row>
    <row r="486" spans="5:7" ht="13.2">
      <c r="E486" s="11"/>
      <c r="F486" s="12"/>
      <c r="G486" s="12"/>
    </row>
    <row r="487" spans="5:7" ht="13.2">
      <c r="E487" s="11"/>
      <c r="F487" s="12"/>
      <c r="G487" s="12"/>
    </row>
    <row r="488" spans="5:7" ht="13.2">
      <c r="E488" s="11"/>
      <c r="F488" s="12"/>
      <c r="G488" s="12"/>
    </row>
    <row r="489" spans="5:7" ht="13.2">
      <c r="E489" s="11"/>
      <c r="F489" s="12"/>
      <c r="G489" s="12"/>
    </row>
    <row r="490" spans="5:7" ht="13.2">
      <c r="E490" s="11"/>
      <c r="F490" s="12"/>
      <c r="G490" s="12"/>
    </row>
    <row r="491" spans="5:7" ht="13.2">
      <c r="E491" s="11"/>
      <c r="F491" s="12"/>
      <c r="G491" s="12"/>
    </row>
    <row r="492" spans="5:7" ht="13.2">
      <c r="E492" s="11"/>
      <c r="F492" s="12"/>
      <c r="G492" s="12"/>
    </row>
    <row r="493" spans="5:7" ht="13.2">
      <c r="E493" s="11"/>
      <c r="F493" s="12"/>
      <c r="G493" s="12"/>
    </row>
    <row r="494" spans="5:7" ht="13.2">
      <c r="E494" s="11"/>
      <c r="F494" s="12"/>
      <c r="G494" s="12"/>
    </row>
    <row r="495" spans="5:7" ht="13.2">
      <c r="E495" s="11"/>
      <c r="F495" s="12"/>
      <c r="G495" s="12"/>
    </row>
    <row r="496" spans="5:7" ht="13.2">
      <c r="E496" s="11"/>
      <c r="F496" s="12"/>
      <c r="G496" s="12"/>
    </row>
    <row r="497" spans="5:7" ht="13.2">
      <c r="E497" s="11"/>
      <c r="F497" s="12"/>
      <c r="G497" s="12"/>
    </row>
    <row r="498" spans="5:7" ht="13.2">
      <c r="E498" s="11"/>
      <c r="F498" s="12"/>
      <c r="G498" s="12"/>
    </row>
    <row r="499" spans="5:7" ht="13.2">
      <c r="E499" s="11"/>
      <c r="F499" s="12"/>
      <c r="G499" s="12"/>
    </row>
    <row r="500" spans="5:7" ht="13.2">
      <c r="E500" s="11"/>
      <c r="F500" s="12"/>
      <c r="G500" s="12"/>
    </row>
    <row r="501" spans="5:7" ht="13.2">
      <c r="E501" s="11"/>
      <c r="F501" s="12"/>
      <c r="G501" s="12"/>
    </row>
    <row r="502" spans="5:7" ht="13.2">
      <c r="E502" s="11"/>
      <c r="F502" s="12"/>
      <c r="G502" s="12"/>
    </row>
    <row r="503" spans="5:7" ht="13.2">
      <c r="E503" s="11"/>
      <c r="F503" s="12"/>
      <c r="G503" s="12"/>
    </row>
    <row r="504" spans="5:7" ht="13.2">
      <c r="E504" s="11"/>
      <c r="F504" s="12"/>
      <c r="G504" s="12"/>
    </row>
    <row r="505" spans="5:7" ht="13.2">
      <c r="E505" s="11"/>
      <c r="F505" s="12"/>
      <c r="G505" s="12"/>
    </row>
    <row r="506" spans="5:7" ht="13.2">
      <c r="E506" s="11"/>
      <c r="F506" s="12"/>
      <c r="G506" s="12"/>
    </row>
    <row r="507" spans="5:7" ht="13.2">
      <c r="E507" s="11"/>
      <c r="F507" s="12"/>
      <c r="G507" s="12"/>
    </row>
    <row r="508" spans="5:7" ht="13.2">
      <c r="E508" s="11"/>
      <c r="F508" s="12"/>
      <c r="G508" s="12"/>
    </row>
    <row r="509" spans="5:7" ht="13.2">
      <c r="E509" s="11"/>
      <c r="F509" s="12"/>
      <c r="G509" s="12"/>
    </row>
    <row r="510" spans="5:7" ht="13.2">
      <c r="E510" s="11"/>
      <c r="F510" s="12"/>
      <c r="G510" s="12"/>
    </row>
    <row r="511" spans="5:7" ht="13.2">
      <c r="E511" s="11"/>
      <c r="F511" s="12"/>
      <c r="G511" s="12"/>
    </row>
    <row r="512" spans="5:7" ht="13.2">
      <c r="E512" s="11"/>
      <c r="F512" s="12"/>
      <c r="G512" s="12"/>
    </row>
    <row r="513" spans="5:7" ht="13.2">
      <c r="E513" s="11"/>
      <c r="F513" s="12"/>
      <c r="G513" s="12"/>
    </row>
    <row r="514" spans="5:7" ht="13.2">
      <c r="E514" s="11"/>
      <c r="F514" s="12"/>
      <c r="G514" s="12"/>
    </row>
    <row r="515" spans="5:7" ht="13.2">
      <c r="E515" s="11"/>
      <c r="F515" s="12"/>
      <c r="G515" s="12"/>
    </row>
    <row r="516" spans="5:7" ht="13.2">
      <c r="E516" s="11"/>
      <c r="F516" s="12"/>
      <c r="G516" s="12"/>
    </row>
    <row r="517" spans="5:7" ht="13.2">
      <c r="E517" s="11"/>
      <c r="F517" s="12"/>
      <c r="G517" s="12"/>
    </row>
    <row r="518" spans="5:7" ht="13.2">
      <c r="E518" s="11"/>
      <c r="F518" s="12"/>
      <c r="G518" s="12"/>
    </row>
    <row r="519" spans="5:7" ht="13.2">
      <c r="E519" s="11"/>
      <c r="F519" s="12"/>
      <c r="G519" s="12"/>
    </row>
    <row r="520" spans="5:7" ht="13.2">
      <c r="E520" s="11"/>
      <c r="F520" s="12"/>
      <c r="G520" s="12"/>
    </row>
    <row r="521" spans="5:7" ht="13.2">
      <c r="E521" s="11"/>
      <c r="F521" s="12"/>
      <c r="G521" s="12"/>
    </row>
    <row r="522" spans="5:7" ht="13.2">
      <c r="E522" s="11"/>
      <c r="F522" s="12"/>
      <c r="G522" s="12"/>
    </row>
    <row r="523" spans="5:7" ht="13.2">
      <c r="E523" s="11"/>
      <c r="F523" s="12"/>
      <c r="G523" s="12"/>
    </row>
    <row r="524" spans="5:7" ht="13.2">
      <c r="E524" s="11"/>
      <c r="F524" s="12"/>
      <c r="G524" s="12"/>
    </row>
    <row r="525" spans="5:7" ht="13.2">
      <c r="E525" s="11"/>
      <c r="F525" s="12"/>
      <c r="G525" s="12"/>
    </row>
    <row r="526" spans="5:7" ht="13.2">
      <c r="E526" s="11"/>
      <c r="F526" s="12"/>
      <c r="G526" s="12"/>
    </row>
    <row r="527" spans="5:7" ht="13.2">
      <c r="E527" s="11"/>
      <c r="F527" s="12"/>
      <c r="G527" s="12"/>
    </row>
    <row r="528" spans="5:7" ht="13.2">
      <c r="E528" s="11"/>
      <c r="F528" s="12"/>
      <c r="G528" s="12"/>
    </row>
    <row r="529" spans="5:7" ht="13.2">
      <c r="E529" s="11"/>
      <c r="F529" s="12"/>
      <c r="G529" s="12"/>
    </row>
    <row r="530" spans="5:7" ht="13.2">
      <c r="E530" s="11"/>
      <c r="F530" s="12"/>
      <c r="G530" s="12"/>
    </row>
    <row r="531" spans="5:7" ht="13.2">
      <c r="E531" s="11"/>
      <c r="F531" s="12"/>
      <c r="G531" s="12"/>
    </row>
    <row r="532" spans="5:7" ht="13.2">
      <c r="E532" s="11"/>
      <c r="F532" s="12"/>
      <c r="G532" s="12"/>
    </row>
    <row r="533" spans="5:7" ht="13.2">
      <c r="E533" s="11"/>
      <c r="F533" s="12"/>
      <c r="G533" s="12"/>
    </row>
    <row r="534" spans="5:7" ht="13.2">
      <c r="E534" s="11"/>
      <c r="F534" s="12"/>
      <c r="G534" s="12"/>
    </row>
    <row r="535" spans="5:7" ht="13.2">
      <c r="E535" s="11"/>
      <c r="F535" s="12"/>
      <c r="G535" s="12"/>
    </row>
    <row r="536" spans="5:7" ht="13.2">
      <c r="E536" s="11"/>
      <c r="F536" s="12"/>
      <c r="G536" s="12"/>
    </row>
    <row r="537" spans="5:7" ht="13.2">
      <c r="E537" s="11"/>
      <c r="F537" s="12"/>
      <c r="G537" s="12"/>
    </row>
    <row r="538" spans="5:7" ht="13.2">
      <c r="E538" s="11"/>
      <c r="F538" s="12"/>
      <c r="G538" s="12"/>
    </row>
    <row r="539" spans="5:7" ht="13.2">
      <c r="E539" s="11"/>
      <c r="F539" s="12"/>
      <c r="G539" s="12"/>
    </row>
    <row r="540" spans="5:7" ht="13.2">
      <c r="E540" s="11"/>
      <c r="F540" s="12"/>
      <c r="G540" s="12"/>
    </row>
    <row r="541" spans="5:7" ht="13.2">
      <c r="E541" s="11"/>
      <c r="F541" s="12"/>
      <c r="G541" s="12"/>
    </row>
    <row r="542" spans="5:7" ht="13.2">
      <c r="E542" s="11"/>
      <c r="F542" s="12"/>
      <c r="G542" s="12"/>
    </row>
    <row r="543" spans="5:7" ht="13.2">
      <c r="E543" s="11"/>
      <c r="F543" s="12"/>
      <c r="G543" s="12"/>
    </row>
    <row r="544" spans="5:7" ht="13.2">
      <c r="E544" s="11"/>
      <c r="F544" s="12"/>
      <c r="G544" s="12"/>
    </row>
    <row r="545" spans="5:7" ht="13.2">
      <c r="E545" s="11"/>
      <c r="F545" s="12"/>
      <c r="G545" s="12"/>
    </row>
    <row r="546" spans="5:7" ht="13.2">
      <c r="E546" s="11"/>
      <c r="F546" s="12"/>
      <c r="G546" s="12"/>
    </row>
    <row r="547" spans="5:7" ht="13.2">
      <c r="E547" s="11"/>
      <c r="F547" s="12"/>
      <c r="G547" s="12"/>
    </row>
    <row r="548" spans="5:7" ht="13.2">
      <c r="E548" s="11"/>
      <c r="F548" s="12"/>
      <c r="G548" s="12"/>
    </row>
    <row r="549" spans="5:7" ht="13.2">
      <c r="E549" s="11"/>
      <c r="F549" s="12"/>
      <c r="G549" s="12"/>
    </row>
    <row r="550" spans="5:7" ht="13.2">
      <c r="E550" s="11"/>
      <c r="F550" s="12"/>
      <c r="G550" s="12"/>
    </row>
    <row r="551" spans="5:7" ht="13.2">
      <c r="E551" s="11"/>
      <c r="F551" s="12"/>
      <c r="G551" s="12"/>
    </row>
    <row r="552" spans="5:7" ht="13.2">
      <c r="E552" s="11"/>
      <c r="F552" s="12"/>
      <c r="G552" s="12"/>
    </row>
    <row r="553" spans="5:7" ht="13.2">
      <c r="E553" s="11"/>
      <c r="F553" s="12"/>
      <c r="G553" s="12"/>
    </row>
    <row r="554" spans="5:7" ht="13.2">
      <c r="E554" s="11"/>
      <c r="F554" s="12"/>
      <c r="G554" s="12"/>
    </row>
    <row r="555" spans="5:7" ht="13.2">
      <c r="E555" s="11"/>
      <c r="F555" s="12"/>
      <c r="G555" s="12"/>
    </row>
    <row r="556" spans="5:7" ht="13.2">
      <c r="E556" s="11"/>
      <c r="F556" s="12"/>
      <c r="G556" s="12"/>
    </row>
    <row r="557" spans="5:7" ht="13.2">
      <c r="E557" s="11"/>
      <c r="F557" s="12"/>
      <c r="G557" s="12"/>
    </row>
    <row r="558" spans="5:7" ht="13.2">
      <c r="E558" s="11"/>
      <c r="F558" s="12"/>
      <c r="G558" s="12"/>
    </row>
    <row r="559" spans="5:7" ht="13.2">
      <c r="E559" s="11"/>
      <c r="F559" s="12"/>
      <c r="G559" s="12"/>
    </row>
    <row r="560" spans="5:7" ht="13.2">
      <c r="E560" s="11"/>
      <c r="F560" s="12"/>
      <c r="G560" s="12"/>
    </row>
    <row r="561" spans="5:7" ht="13.2">
      <c r="E561" s="11"/>
      <c r="F561" s="12"/>
      <c r="G561" s="12"/>
    </row>
    <row r="562" spans="5:7" ht="13.2">
      <c r="E562" s="11"/>
      <c r="F562" s="12"/>
      <c r="G562" s="12"/>
    </row>
    <row r="563" spans="5:7" ht="13.2">
      <c r="E563" s="11"/>
      <c r="F563" s="12"/>
      <c r="G563" s="12"/>
    </row>
    <row r="564" spans="5:7" ht="13.2">
      <c r="E564" s="11"/>
      <c r="F564" s="12"/>
      <c r="G564" s="12"/>
    </row>
    <row r="565" spans="5:7" ht="13.2">
      <c r="E565" s="11"/>
      <c r="F565" s="12"/>
      <c r="G565" s="12"/>
    </row>
    <row r="566" spans="5:7" ht="13.2">
      <c r="E566" s="11"/>
      <c r="F566" s="12"/>
      <c r="G566" s="12"/>
    </row>
    <row r="567" spans="5:7" ht="13.2">
      <c r="E567" s="11"/>
      <c r="F567" s="12"/>
      <c r="G567" s="12"/>
    </row>
    <row r="568" spans="5:7" ht="13.2">
      <c r="E568" s="11"/>
      <c r="F568" s="12"/>
      <c r="G568" s="12"/>
    </row>
    <row r="569" spans="5:7" ht="13.2">
      <c r="E569" s="11"/>
      <c r="F569" s="12"/>
      <c r="G569" s="12"/>
    </row>
    <row r="570" spans="5:7" ht="13.2">
      <c r="E570" s="11"/>
      <c r="F570" s="12"/>
      <c r="G570" s="12"/>
    </row>
    <row r="571" spans="5:7" ht="13.2">
      <c r="E571" s="11"/>
      <c r="F571" s="12"/>
      <c r="G571" s="12"/>
    </row>
    <row r="572" spans="5:7" ht="13.2">
      <c r="E572" s="11"/>
      <c r="F572" s="12"/>
      <c r="G572" s="12"/>
    </row>
    <row r="573" spans="5:7" ht="13.2">
      <c r="E573" s="11"/>
      <c r="F573" s="12"/>
      <c r="G573" s="12"/>
    </row>
    <row r="574" spans="5:7" ht="13.2">
      <c r="E574" s="11"/>
      <c r="F574" s="12"/>
      <c r="G574" s="12"/>
    </row>
    <row r="575" spans="5:7" ht="13.2">
      <c r="E575" s="11"/>
      <c r="F575" s="12"/>
      <c r="G575" s="12"/>
    </row>
    <row r="576" spans="5:7" ht="13.2">
      <c r="E576" s="11"/>
      <c r="F576" s="12"/>
      <c r="G576" s="12"/>
    </row>
    <row r="577" spans="5:7" ht="13.2">
      <c r="E577" s="11"/>
      <c r="F577" s="12"/>
      <c r="G577" s="12"/>
    </row>
    <row r="578" spans="5:7" ht="13.2">
      <c r="E578" s="11"/>
      <c r="F578" s="12"/>
      <c r="G578" s="12"/>
    </row>
    <row r="579" spans="5:7" ht="13.2">
      <c r="E579" s="11"/>
      <c r="F579" s="12"/>
      <c r="G579" s="12"/>
    </row>
    <row r="580" spans="5:7" ht="13.2">
      <c r="E580" s="11"/>
      <c r="F580" s="12"/>
      <c r="G580" s="12"/>
    </row>
    <row r="581" spans="5:7" ht="13.2">
      <c r="E581" s="11"/>
      <c r="F581" s="12"/>
      <c r="G581" s="12"/>
    </row>
    <row r="582" spans="5:7" ht="13.2">
      <c r="E582" s="11"/>
      <c r="F582" s="12"/>
      <c r="G582" s="12"/>
    </row>
    <row r="583" spans="5:7" ht="13.2">
      <c r="E583" s="11"/>
      <c r="F583" s="12"/>
      <c r="G583" s="12"/>
    </row>
    <row r="584" spans="5:7" ht="13.2">
      <c r="E584" s="11"/>
      <c r="F584" s="12"/>
      <c r="G584" s="12"/>
    </row>
    <row r="585" spans="5:7" ht="13.2">
      <c r="E585" s="11"/>
      <c r="F585" s="12"/>
      <c r="G585" s="12"/>
    </row>
    <row r="586" spans="5:7" ht="13.2">
      <c r="E586" s="11"/>
      <c r="F586" s="12"/>
      <c r="G586" s="12"/>
    </row>
    <row r="587" spans="5:7" ht="13.2">
      <c r="E587" s="11"/>
      <c r="F587" s="12"/>
      <c r="G587" s="12"/>
    </row>
    <row r="588" spans="5:7" ht="13.2">
      <c r="E588" s="11"/>
      <c r="F588" s="12"/>
      <c r="G588" s="12"/>
    </row>
    <row r="589" spans="5:7" ht="13.2">
      <c r="E589" s="11"/>
      <c r="F589" s="12"/>
      <c r="G589" s="12"/>
    </row>
    <row r="590" spans="5:7" ht="13.2">
      <c r="E590" s="11"/>
      <c r="F590" s="12"/>
      <c r="G590" s="12"/>
    </row>
    <row r="591" spans="5:7" ht="13.2">
      <c r="E591" s="11"/>
      <c r="F591" s="12"/>
      <c r="G591" s="12"/>
    </row>
    <row r="592" spans="5:7" ht="13.2">
      <c r="E592" s="11"/>
      <c r="F592" s="12"/>
      <c r="G592" s="12"/>
    </row>
    <row r="593" spans="5:7" ht="13.2">
      <c r="E593" s="11"/>
      <c r="F593" s="12"/>
      <c r="G593" s="12"/>
    </row>
    <row r="594" spans="5:7" ht="13.2">
      <c r="E594" s="11"/>
      <c r="F594" s="12"/>
      <c r="G594" s="12"/>
    </row>
    <row r="595" spans="5:7" ht="13.2">
      <c r="E595" s="11"/>
      <c r="F595" s="12"/>
      <c r="G595" s="12"/>
    </row>
    <row r="596" spans="5:7" ht="13.2">
      <c r="E596" s="11"/>
      <c r="F596" s="12"/>
      <c r="G596" s="12"/>
    </row>
    <row r="597" spans="5:7" ht="13.2">
      <c r="E597" s="11"/>
      <c r="F597" s="12"/>
      <c r="G597" s="12"/>
    </row>
    <row r="598" spans="5:7" ht="13.2">
      <c r="E598" s="11"/>
      <c r="F598" s="12"/>
      <c r="G598" s="12"/>
    </row>
    <row r="599" spans="5:7" ht="13.2">
      <c r="E599" s="11"/>
      <c r="F599" s="12"/>
      <c r="G599" s="12"/>
    </row>
    <row r="600" spans="5:7" ht="13.2">
      <c r="E600" s="11"/>
      <c r="F600" s="12"/>
      <c r="G600" s="12"/>
    </row>
    <row r="601" spans="5:7" ht="13.2">
      <c r="E601" s="11"/>
      <c r="F601" s="12"/>
      <c r="G601" s="12"/>
    </row>
    <row r="602" spans="5:7" ht="13.2">
      <c r="E602" s="11"/>
      <c r="F602" s="12"/>
      <c r="G602" s="12"/>
    </row>
    <row r="603" spans="5:7" ht="13.2">
      <c r="E603" s="11"/>
      <c r="F603" s="12"/>
      <c r="G603" s="12"/>
    </row>
    <row r="604" spans="5:7" ht="13.2">
      <c r="E604" s="11"/>
      <c r="F604" s="12"/>
      <c r="G604" s="12"/>
    </row>
    <row r="605" spans="5:7" ht="13.2">
      <c r="E605" s="11"/>
      <c r="F605" s="12"/>
      <c r="G605" s="12"/>
    </row>
    <row r="606" spans="5:7" ht="13.2">
      <c r="E606" s="11"/>
      <c r="F606" s="12"/>
      <c r="G606" s="12"/>
    </row>
    <row r="607" spans="5:7" ht="13.2">
      <c r="E607" s="11"/>
      <c r="F607" s="12"/>
      <c r="G607" s="12"/>
    </row>
    <row r="608" spans="5:7" ht="13.2">
      <c r="E608" s="11"/>
      <c r="F608" s="12"/>
      <c r="G608" s="12"/>
    </row>
    <row r="609" spans="5:7" ht="13.2">
      <c r="E609" s="11"/>
      <c r="F609" s="12"/>
      <c r="G609" s="12"/>
    </row>
    <row r="610" spans="5:7" ht="13.2">
      <c r="E610" s="11"/>
      <c r="F610" s="12"/>
      <c r="G610" s="12"/>
    </row>
    <row r="611" spans="5:7" ht="13.2">
      <c r="E611" s="11"/>
      <c r="F611" s="12"/>
      <c r="G611" s="12"/>
    </row>
    <row r="612" spans="5:7" ht="13.2">
      <c r="E612" s="11"/>
      <c r="F612" s="12"/>
      <c r="G612" s="12"/>
    </row>
    <row r="613" spans="5:7" ht="13.2">
      <c r="E613" s="11"/>
      <c r="F613" s="12"/>
      <c r="G613" s="12"/>
    </row>
    <row r="614" spans="5:7" ht="13.2">
      <c r="E614" s="11"/>
      <c r="F614" s="12"/>
      <c r="G614" s="12"/>
    </row>
    <row r="615" spans="5:7" ht="13.2">
      <c r="E615" s="11"/>
      <c r="F615" s="12"/>
      <c r="G615" s="12"/>
    </row>
    <row r="616" spans="5:7" ht="13.2">
      <c r="E616" s="11"/>
      <c r="F616" s="12"/>
      <c r="G616" s="12"/>
    </row>
    <row r="617" spans="5:7" ht="13.2">
      <c r="E617" s="11"/>
      <c r="F617" s="12"/>
      <c r="G617" s="12"/>
    </row>
    <row r="618" spans="5:7" ht="13.2">
      <c r="E618" s="11"/>
      <c r="F618" s="12"/>
      <c r="G618" s="12"/>
    </row>
    <row r="619" spans="5:7" ht="13.2">
      <c r="E619" s="11"/>
      <c r="F619" s="12"/>
      <c r="G619" s="12"/>
    </row>
    <row r="620" spans="5:7" ht="13.2">
      <c r="E620" s="11"/>
      <c r="F620" s="12"/>
      <c r="G620" s="12"/>
    </row>
    <row r="621" spans="5:7" ht="13.2">
      <c r="E621" s="11"/>
      <c r="F621" s="12"/>
      <c r="G621" s="12"/>
    </row>
    <row r="622" spans="5:7" ht="13.2">
      <c r="E622" s="11"/>
      <c r="F622" s="12"/>
      <c r="G622" s="12"/>
    </row>
    <row r="623" spans="5:7" ht="13.2">
      <c r="E623" s="11"/>
      <c r="F623" s="12"/>
      <c r="G623" s="12"/>
    </row>
    <row r="624" spans="5:7" ht="13.2">
      <c r="E624" s="11"/>
      <c r="F624" s="12"/>
      <c r="G624" s="12"/>
    </row>
    <row r="625" spans="5:7" ht="13.2">
      <c r="E625" s="11"/>
      <c r="F625" s="12"/>
      <c r="G625" s="12"/>
    </row>
    <row r="626" spans="5:7" ht="13.2">
      <c r="E626" s="11"/>
      <c r="F626" s="12"/>
      <c r="G626" s="12"/>
    </row>
    <row r="627" spans="5:7" ht="13.2">
      <c r="E627" s="11"/>
      <c r="F627" s="12"/>
      <c r="G627" s="12"/>
    </row>
    <row r="628" spans="5:7" ht="13.2">
      <c r="E628" s="11"/>
      <c r="F628" s="12"/>
      <c r="G628" s="12"/>
    </row>
    <row r="629" spans="5:7" ht="13.2">
      <c r="E629" s="11"/>
      <c r="F629" s="12"/>
      <c r="G629" s="12"/>
    </row>
    <row r="630" spans="5:7" ht="13.2">
      <c r="E630" s="11"/>
      <c r="F630" s="12"/>
      <c r="G630" s="12"/>
    </row>
    <row r="631" spans="5:7" ht="13.2">
      <c r="E631" s="11"/>
      <c r="F631" s="12"/>
      <c r="G631" s="12"/>
    </row>
    <row r="632" spans="5:7" ht="13.2">
      <c r="E632" s="11"/>
      <c r="F632" s="12"/>
      <c r="G632" s="12"/>
    </row>
    <row r="633" spans="5:7" ht="13.2">
      <c r="E633" s="11"/>
      <c r="F633" s="12"/>
      <c r="G633" s="12"/>
    </row>
    <row r="634" spans="5:7" ht="13.2">
      <c r="E634" s="11"/>
      <c r="F634" s="12"/>
      <c r="G634" s="12"/>
    </row>
    <row r="635" spans="5:7" ht="13.2">
      <c r="E635" s="11"/>
      <c r="F635" s="12"/>
      <c r="G635" s="12"/>
    </row>
    <row r="636" spans="5:7" ht="13.2">
      <c r="E636" s="11"/>
      <c r="F636" s="12"/>
      <c r="G636" s="12"/>
    </row>
    <row r="637" spans="5:7" ht="13.2">
      <c r="E637" s="11"/>
      <c r="F637" s="12"/>
      <c r="G637" s="12"/>
    </row>
    <row r="638" spans="5:7" ht="13.2">
      <c r="E638" s="11"/>
      <c r="F638" s="12"/>
      <c r="G638" s="12"/>
    </row>
    <row r="639" spans="5:7" ht="13.2">
      <c r="E639" s="11"/>
      <c r="F639" s="12"/>
      <c r="G639" s="12"/>
    </row>
    <row r="640" spans="5:7" ht="13.2">
      <c r="E640" s="11"/>
      <c r="F640" s="12"/>
      <c r="G640" s="12"/>
    </row>
    <row r="641" spans="5:7" ht="13.2">
      <c r="E641" s="11"/>
      <c r="F641" s="12"/>
      <c r="G641" s="12"/>
    </row>
    <row r="642" spans="5:7" ht="13.2">
      <c r="E642" s="11"/>
      <c r="F642" s="12"/>
      <c r="G642" s="12"/>
    </row>
    <row r="643" spans="5:7" ht="13.2">
      <c r="E643" s="11"/>
      <c r="F643" s="12"/>
      <c r="G643" s="12"/>
    </row>
    <row r="644" spans="5:7" ht="13.2">
      <c r="E644" s="11"/>
      <c r="F644" s="12"/>
      <c r="G644" s="12"/>
    </row>
    <row r="645" spans="5:7" ht="13.2">
      <c r="E645" s="11"/>
      <c r="F645" s="12"/>
      <c r="G645" s="12"/>
    </row>
    <row r="646" spans="5:7" ht="13.2">
      <c r="E646" s="11"/>
      <c r="F646" s="12"/>
      <c r="G646" s="12"/>
    </row>
    <row r="647" spans="5:7" ht="13.2">
      <c r="E647" s="11"/>
      <c r="F647" s="12"/>
      <c r="G647" s="12"/>
    </row>
    <row r="648" spans="5:7" ht="13.2">
      <c r="E648" s="11"/>
      <c r="F648" s="12"/>
      <c r="G648" s="12"/>
    </row>
    <row r="649" spans="5:7" ht="13.2">
      <c r="E649" s="11"/>
      <c r="F649" s="12"/>
      <c r="G649" s="12"/>
    </row>
    <row r="650" spans="5:7" ht="13.2">
      <c r="E650" s="11"/>
      <c r="F650" s="12"/>
      <c r="G650" s="12"/>
    </row>
    <row r="651" spans="5:7" ht="13.2">
      <c r="E651" s="11"/>
      <c r="F651" s="12"/>
      <c r="G651" s="12"/>
    </row>
    <row r="652" spans="5:7" ht="13.2">
      <c r="E652" s="11"/>
      <c r="F652" s="12"/>
      <c r="G652" s="12"/>
    </row>
    <row r="653" spans="5:7" ht="13.2">
      <c r="E653" s="11"/>
      <c r="F653" s="12"/>
      <c r="G653" s="12"/>
    </row>
    <row r="654" spans="5:7" ht="13.2">
      <c r="E654" s="11"/>
      <c r="F654" s="12"/>
      <c r="G654" s="12"/>
    </row>
    <row r="655" spans="5:7" ht="13.2">
      <c r="E655" s="11"/>
      <c r="F655" s="12"/>
      <c r="G655" s="12"/>
    </row>
    <row r="656" spans="5:7" ht="13.2">
      <c r="E656" s="11"/>
      <c r="F656" s="12"/>
      <c r="G656" s="12"/>
    </row>
    <row r="657" spans="5:7" ht="13.2">
      <c r="E657" s="11"/>
      <c r="F657" s="12"/>
      <c r="G657" s="12"/>
    </row>
    <row r="658" spans="5:7" ht="13.2">
      <c r="E658" s="11"/>
      <c r="F658" s="12"/>
      <c r="G658" s="12"/>
    </row>
    <row r="659" spans="5:7" ht="13.2">
      <c r="E659" s="11"/>
      <c r="F659" s="12"/>
      <c r="G659" s="12"/>
    </row>
    <row r="660" spans="5:7" ht="13.2">
      <c r="E660" s="11"/>
      <c r="F660" s="12"/>
      <c r="G660" s="12"/>
    </row>
    <row r="661" spans="5:7" ht="13.2">
      <c r="E661" s="11"/>
      <c r="F661" s="12"/>
      <c r="G661" s="12"/>
    </row>
    <row r="662" spans="5:7" ht="13.2">
      <c r="E662" s="11"/>
      <c r="F662" s="12"/>
      <c r="G662" s="12"/>
    </row>
    <row r="663" spans="5:7" ht="13.2">
      <c r="E663" s="11"/>
      <c r="F663" s="12"/>
      <c r="G663" s="12"/>
    </row>
    <row r="664" spans="5:7" ht="13.2">
      <c r="E664" s="11"/>
      <c r="F664" s="12"/>
      <c r="G664" s="12"/>
    </row>
    <row r="665" spans="5:7" ht="13.2">
      <c r="E665" s="11"/>
      <c r="F665" s="12"/>
      <c r="G665" s="12"/>
    </row>
    <row r="666" spans="5:7" ht="13.2">
      <c r="E666" s="11"/>
      <c r="F666" s="12"/>
      <c r="G666" s="12"/>
    </row>
    <row r="667" spans="5:7" ht="13.2">
      <c r="E667" s="11"/>
      <c r="F667" s="12"/>
      <c r="G667" s="12"/>
    </row>
    <row r="668" spans="5:7" ht="13.2">
      <c r="E668" s="11"/>
      <c r="F668" s="12"/>
      <c r="G668" s="12"/>
    </row>
    <row r="669" spans="5:7" ht="13.2">
      <c r="E669" s="11"/>
      <c r="F669" s="12"/>
      <c r="G669" s="12"/>
    </row>
    <row r="670" spans="5:7" ht="13.2">
      <c r="E670" s="11"/>
      <c r="F670" s="12"/>
      <c r="G670" s="12"/>
    </row>
    <row r="671" spans="5:7" ht="13.2">
      <c r="E671" s="11"/>
      <c r="F671" s="12"/>
      <c r="G671" s="12"/>
    </row>
    <row r="672" spans="5:7" ht="13.2">
      <c r="E672" s="11"/>
      <c r="F672" s="12"/>
      <c r="G672" s="12"/>
    </row>
    <row r="673" spans="5:7" ht="13.2">
      <c r="E673" s="11"/>
      <c r="F673" s="12"/>
      <c r="G673" s="12"/>
    </row>
    <row r="674" spans="5:7" ht="13.2">
      <c r="E674" s="11"/>
      <c r="F674" s="12"/>
      <c r="G674" s="12"/>
    </row>
    <row r="675" spans="5:7" ht="13.2">
      <c r="E675" s="11"/>
      <c r="F675" s="12"/>
      <c r="G675" s="12"/>
    </row>
    <row r="676" spans="5:7" ht="13.2">
      <c r="E676" s="11"/>
      <c r="F676" s="12"/>
      <c r="G676" s="12"/>
    </row>
    <row r="677" spans="5:7" ht="13.2">
      <c r="E677" s="11"/>
      <c r="F677" s="12"/>
      <c r="G677" s="12"/>
    </row>
    <row r="678" spans="5:7" ht="13.2">
      <c r="E678" s="11"/>
      <c r="F678" s="12"/>
      <c r="G678" s="12"/>
    </row>
    <row r="679" spans="5:7" ht="13.2">
      <c r="E679" s="11"/>
      <c r="F679" s="12"/>
      <c r="G679" s="12"/>
    </row>
    <row r="680" spans="5:7" ht="13.2">
      <c r="E680" s="11"/>
      <c r="F680" s="12"/>
      <c r="G680" s="12"/>
    </row>
    <row r="681" spans="5:7" ht="13.2">
      <c r="E681" s="11"/>
      <c r="F681" s="12"/>
      <c r="G681" s="12"/>
    </row>
    <row r="682" spans="5:7" ht="13.2">
      <c r="E682" s="11"/>
      <c r="F682" s="12"/>
      <c r="G682" s="12"/>
    </row>
    <row r="683" spans="5:7" ht="13.2">
      <c r="E683" s="11"/>
      <c r="F683" s="12"/>
      <c r="G683" s="12"/>
    </row>
    <row r="684" spans="5:7" ht="13.2">
      <c r="E684" s="11"/>
      <c r="F684" s="12"/>
      <c r="G684" s="12"/>
    </row>
    <row r="685" spans="5:7" ht="13.2">
      <c r="E685" s="11"/>
      <c r="F685" s="12"/>
      <c r="G685" s="12"/>
    </row>
    <row r="686" spans="5:7" ht="13.2">
      <c r="E686" s="11"/>
      <c r="F686" s="12"/>
      <c r="G686" s="12"/>
    </row>
    <row r="687" spans="5:7" ht="13.2">
      <c r="E687" s="11"/>
      <c r="F687" s="12"/>
      <c r="G687" s="12"/>
    </row>
    <row r="688" spans="5:7" ht="13.2">
      <c r="E688" s="11"/>
      <c r="F688" s="12"/>
      <c r="G688" s="12"/>
    </row>
    <row r="689" spans="5:7" ht="13.2">
      <c r="E689" s="11"/>
      <c r="F689" s="12"/>
      <c r="G689" s="12"/>
    </row>
    <row r="690" spans="5:7" ht="13.2">
      <c r="E690" s="11"/>
      <c r="F690" s="12"/>
      <c r="G690" s="12"/>
    </row>
    <row r="691" spans="5:7" ht="13.2">
      <c r="E691" s="11"/>
      <c r="F691" s="12"/>
      <c r="G691" s="12"/>
    </row>
    <row r="692" spans="5:7" ht="13.2">
      <c r="E692" s="11"/>
      <c r="F692" s="12"/>
      <c r="G692" s="12"/>
    </row>
    <row r="693" spans="5:7" ht="13.2">
      <c r="E693" s="11"/>
      <c r="F693" s="12"/>
      <c r="G693" s="12"/>
    </row>
    <row r="694" spans="5:7" ht="13.2">
      <c r="E694" s="11"/>
      <c r="F694" s="12"/>
      <c r="G694" s="12"/>
    </row>
    <row r="695" spans="5:7" ht="13.2">
      <c r="E695" s="11"/>
      <c r="F695" s="12"/>
      <c r="G695" s="12"/>
    </row>
    <row r="696" spans="5:7" ht="13.2">
      <c r="E696" s="11"/>
      <c r="F696" s="12"/>
      <c r="G696" s="12"/>
    </row>
    <row r="697" spans="5:7" ht="13.2">
      <c r="E697" s="11"/>
      <c r="F697" s="12"/>
      <c r="G697" s="12"/>
    </row>
    <row r="698" spans="5:7" ht="13.2">
      <c r="E698" s="11"/>
      <c r="F698" s="12"/>
      <c r="G698" s="12"/>
    </row>
    <row r="699" spans="5:7" ht="13.2">
      <c r="E699" s="11"/>
      <c r="F699" s="12"/>
      <c r="G699" s="12"/>
    </row>
    <row r="700" spans="5:7" ht="13.2">
      <c r="E700" s="11"/>
      <c r="F700" s="12"/>
      <c r="G700" s="12"/>
    </row>
    <row r="701" spans="5:7" ht="13.2">
      <c r="E701" s="11"/>
      <c r="F701" s="12"/>
      <c r="G701" s="12"/>
    </row>
    <row r="702" spans="5:7" ht="13.2">
      <c r="E702" s="11"/>
      <c r="F702" s="12"/>
      <c r="G702" s="12"/>
    </row>
    <row r="703" spans="5:7" ht="13.2">
      <c r="E703" s="11"/>
      <c r="F703" s="12"/>
      <c r="G703" s="12"/>
    </row>
    <row r="704" spans="5:7" ht="13.2">
      <c r="E704" s="11"/>
      <c r="F704" s="12"/>
      <c r="G704" s="12"/>
    </row>
    <row r="705" spans="5:7" ht="13.2">
      <c r="E705" s="11"/>
      <c r="F705" s="12"/>
      <c r="G705" s="12"/>
    </row>
    <row r="706" spans="5:7" ht="13.2">
      <c r="E706" s="11"/>
      <c r="F706" s="12"/>
      <c r="G706" s="12"/>
    </row>
    <row r="707" spans="5:7" ht="13.2">
      <c r="E707" s="11"/>
      <c r="F707" s="12"/>
      <c r="G707" s="12"/>
    </row>
    <row r="708" spans="5:7" ht="13.2">
      <c r="E708" s="11"/>
      <c r="F708" s="12"/>
      <c r="G708" s="12"/>
    </row>
    <row r="709" spans="5:7" ht="13.2">
      <c r="E709" s="11"/>
      <c r="F709" s="12"/>
      <c r="G709" s="12"/>
    </row>
    <row r="710" spans="5:7" ht="13.2">
      <c r="E710" s="11"/>
      <c r="F710" s="12"/>
      <c r="G710" s="12"/>
    </row>
    <row r="711" spans="5:7" ht="13.2">
      <c r="E711" s="11"/>
      <c r="F711" s="12"/>
      <c r="G711" s="12"/>
    </row>
    <row r="712" spans="5:7" ht="13.2">
      <c r="E712" s="11"/>
      <c r="F712" s="12"/>
      <c r="G712" s="12"/>
    </row>
    <row r="713" spans="5:7" ht="13.2">
      <c r="E713" s="11"/>
      <c r="F713" s="12"/>
      <c r="G713" s="12"/>
    </row>
    <row r="714" spans="5:7" ht="13.2">
      <c r="E714" s="11"/>
      <c r="F714" s="12"/>
      <c r="G714" s="12"/>
    </row>
    <row r="715" spans="5:7" ht="13.2">
      <c r="E715" s="11"/>
      <c r="F715" s="12"/>
      <c r="G715" s="12"/>
    </row>
    <row r="716" spans="5:7" ht="13.2">
      <c r="E716" s="11"/>
      <c r="F716" s="12"/>
      <c r="G716" s="12"/>
    </row>
    <row r="717" spans="5:7" ht="13.2">
      <c r="E717" s="11"/>
      <c r="F717" s="12"/>
      <c r="G717" s="12"/>
    </row>
    <row r="718" spans="5:7" ht="13.2">
      <c r="E718" s="11"/>
      <c r="F718" s="12"/>
      <c r="G718" s="12"/>
    </row>
    <row r="719" spans="5:7" ht="13.2">
      <c r="E719" s="11"/>
      <c r="F719" s="12"/>
      <c r="G719" s="12"/>
    </row>
    <row r="720" spans="5:7" ht="13.2">
      <c r="E720" s="11"/>
      <c r="F720" s="12"/>
      <c r="G720" s="12"/>
    </row>
    <row r="721" spans="5:7" ht="13.2">
      <c r="E721" s="11"/>
      <c r="F721" s="12"/>
      <c r="G721" s="12"/>
    </row>
    <row r="722" spans="5:7" ht="13.2">
      <c r="E722" s="11"/>
      <c r="F722" s="12"/>
      <c r="G722" s="12"/>
    </row>
    <row r="723" spans="5:7" ht="13.2">
      <c r="E723" s="11"/>
      <c r="F723" s="12"/>
      <c r="G723" s="12"/>
    </row>
    <row r="724" spans="5:7" ht="13.2">
      <c r="E724" s="11"/>
      <c r="F724" s="12"/>
      <c r="G724" s="12"/>
    </row>
    <row r="725" spans="5:7" ht="13.2">
      <c r="E725" s="11"/>
      <c r="F725" s="12"/>
      <c r="G725" s="12"/>
    </row>
    <row r="726" spans="5:7" ht="13.2">
      <c r="E726" s="11"/>
      <c r="F726" s="12"/>
      <c r="G726" s="12"/>
    </row>
    <row r="727" spans="5:7" ht="13.2">
      <c r="E727" s="11"/>
      <c r="F727" s="12"/>
      <c r="G727" s="12"/>
    </row>
    <row r="728" spans="5:7" ht="13.2">
      <c r="E728" s="11"/>
      <c r="F728" s="12"/>
      <c r="G728" s="12"/>
    </row>
    <row r="729" spans="5:7" ht="13.2">
      <c r="E729" s="11"/>
      <c r="F729" s="12"/>
      <c r="G729" s="12"/>
    </row>
    <row r="730" spans="5:7" ht="13.2">
      <c r="E730" s="11"/>
      <c r="F730" s="12"/>
      <c r="G730" s="12"/>
    </row>
    <row r="731" spans="5:7" ht="13.2">
      <c r="E731" s="11"/>
      <c r="F731" s="12"/>
      <c r="G731" s="12"/>
    </row>
    <row r="732" spans="5:7" ht="13.2">
      <c r="E732" s="11"/>
      <c r="F732" s="12"/>
      <c r="G732" s="12"/>
    </row>
    <row r="733" spans="5:7" ht="13.2">
      <c r="E733" s="11"/>
      <c r="F733" s="12"/>
      <c r="G733" s="12"/>
    </row>
    <row r="734" spans="5:7" ht="13.2">
      <c r="E734" s="11"/>
      <c r="F734" s="12"/>
      <c r="G734" s="12"/>
    </row>
    <row r="735" spans="5:7" ht="13.2">
      <c r="E735" s="11"/>
      <c r="F735" s="12"/>
      <c r="G735" s="12"/>
    </row>
    <row r="736" spans="5:7" ht="13.2">
      <c r="E736" s="11"/>
      <c r="F736" s="12"/>
      <c r="G736" s="12"/>
    </row>
    <row r="737" spans="5:7" ht="13.2">
      <c r="E737" s="11"/>
      <c r="F737" s="12"/>
      <c r="G737" s="12"/>
    </row>
    <row r="738" spans="5:7" ht="13.2">
      <c r="E738" s="11"/>
      <c r="F738" s="12"/>
      <c r="G738" s="12"/>
    </row>
    <row r="739" spans="5:7" ht="13.2">
      <c r="E739" s="11"/>
      <c r="F739" s="12"/>
      <c r="G739" s="12"/>
    </row>
    <row r="740" spans="5:7" ht="13.2">
      <c r="E740" s="11"/>
      <c r="F740" s="12"/>
      <c r="G740" s="12"/>
    </row>
    <row r="741" spans="5:7" ht="13.2">
      <c r="E741" s="11"/>
      <c r="F741" s="12"/>
      <c r="G741" s="12"/>
    </row>
    <row r="742" spans="5:7" ht="13.2">
      <c r="E742" s="11"/>
      <c r="F742" s="12"/>
      <c r="G742" s="12"/>
    </row>
    <row r="743" spans="5:7" ht="13.2">
      <c r="E743" s="11"/>
      <c r="F743" s="12"/>
      <c r="G743" s="12"/>
    </row>
    <row r="744" spans="5:7" ht="13.2">
      <c r="E744" s="11"/>
      <c r="F744" s="12"/>
      <c r="G744" s="12"/>
    </row>
    <row r="745" spans="5:7" ht="13.2">
      <c r="E745" s="11"/>
      <c r="F745" s="12"/>
      <c r="G745" s="12"/>
    </row>
    <row r="746" spans="5:7" ht="13.2">
      <c r="E746" s="11"/>
      <c r="F746" s="12"/>
      <c r="G746" s="12"/>
    </row>
    <row r="747" spans="5:7" ht="13.2">
      <c r="E747" s="11"/>
      <c r="F747" s="12"/>
      <c r="G747" s="12"/>
    </row>
    <row r="748" spans="5:7" ht="13.2">
      <c r="E748" s="11"/>
      <c r="F748" s="12"/>
      <c r="G748" s="12"/>
    </row>
    <row r="749" spans="5:7" ht="13.2">
      <c r="E749" s="11"/>
      <c r="F749" s="12"/>
      <c r="G749" s="12"/>
    </row>
    <row r="750" spans="5:7" ht="13.2">
      <c r="E750" s="11"/>
      <c r="F750" s="12"/>
      <c r="G750" s="12"/>
    </row>
    <row r="751" spans="5:7" ht="13.2">
      <c r="E751" s="11"/>
      <c r="F751" s="12"/>
      <c r="G751" s="12"/>
    </row>
    <row r="752" spans="5:7" ht="13.2">
      <c r="E752" s="11"/>
      <c r="F752" s="12"/>
      <c r="G752" s="12"/>
    </row>
    <row r="753" spans="5:7" ht="13.2">
      <c r="E753" s="11"/>
      <c r="F753" s="12"/>
      <c r="G753" s="12"/>
    </row>
    <row r="754" spans="5:7" ht="13.2">
      <c r="E754" s="11"/>
      <c r="F754" s="12"/>
      <c r="G754" s="12"/>
    </row>
    <row r="755" spans="5:7" ht="13.2">
      <c r="E755" s="11"/>
      <c r="F755" s="12"/>
      <c r="G755" s="12"/>
    </row>
    <row r="756" spans="5:7" ht="13.2">
      <c r="E756" s="11"/>
      <c r="F756" s="12"/>
      <c r="G756" s="12"/>
    </row>
    <row r="757" spans="5:7" ht="13.2">
      <c r="E757" s="11"/>
      <c r="F757" s="12"/>
      <c r="G757" s="12"/>
    </row>
    <row r="758" spans="5:7" ht="13.2">
      <c r="E758" s="11"/>
      <c r="F758" s="12"/>
      <c r="G758" s="12"/>
    </row>
    <row r="759" spans="5:7" ht="13.2">
      <c r="E759" s="11"/>
      <c r="F759" s="12"/>
      <c r="G759" s="12"/>
    </row>
    <row r="760" spans="5:7" ht="13.2">
      <c r="E760" s="11"/>
      <c r="F760" s="12"/>
      <c r="G760" s="12"/>
    </row>
    <row r="761" spans="5:7" ht="13.2">
      <c r="E761" s="11"/>
      <c r="F761" s="12"/>
      <c r="G761" s="12"/>
    </row>
    <row r="762" spans="5:7" ht="13.2">
      <c r="E762" s="11"/>
      <c r="F762" s="12"/>
      <c r="G762" s="12"/>
    </row>
    <row r="763" spans="5:7" ht="13.2">
      <c r="E763" s="11"/>
      <c r="F763" s="12"/>
      <c r="G763" s="12"/>
    </row>
    <row r="764" spans="5:7" ht="13.2">
      <c r="E764" s="11"/>
      <c r="F764" s="12"/>
      <c r="G764" s="12"/>
    </row>
    <row r="765" spans="5:7" ht="13.2">
      <c r="E765" s="11"/>
      <c r="F765" s="12"/>
      <c r="G765" s="12"/>
    </row>
    <row r="766" spans="5:7" ht="13.2">
      <c r="E766" s="11"/>
      <c r="F766" s="12"/>
      <c r="G766" s="12"/>
    </row>
    <row r="767" spans="5:7" ht="13.2">
      <c r="E767" s="11"/>
      <c r="F767" s="12"/>
      <c r="G767" s="12"/>
    </row>
    <row r="768" spans="5:7" ht="13.2">
      <c r="E768" s="11"/>
      <c r="F768" s="12"/>
      <c r="G768" s="12"/>
    </row>
    <row r="769" spans="5:7" ht="13.2">
      <c r="E769" s="11"/>
      <c r="F769" s="12"/>
      <c r="G769" s="12"/>
    </row>
    <row r="770" spans="5:7" ht="13.2">
      <c r="E770" s="11"/>
      <c r="F770" s="12"/>
      <c r="G770" s="12"/>
    </row>
    <row r="771" spans="5:7" ht="13.2">
      <c r="E771" s="11"/>
      <c r="F771" s="12"/>
      <c r="G771" s="12"/>
    </row>
    <row r="772" spans="5:7" ht="13.2">
      <c r="E772" s="11"/>
      <c r="F772" s="12"/>
      <c r="G772" s="12"/>
    </row>
    <row r="773" spans="5:7" ht="13.2">
      <c r="E773" s="11"/>
      <c r="F773" s="12"/>
      <c r="G773" s="12"/>
    </row>
    <row r="774" spans="5:7" ht="13.2">
      <c r="E774" s="11"/>
      <c r="F774" s="12"/>
      <c r="G774" s="12"/>
    </row>
    <row r="775" spans="5:7" ht="13.2">
      <c r="E775" s="11"/>
      <c r="F775" s="12"/>
      <c r="G775" s="12"/>
    </row>
    <row r="776" spans="5:7" ht="13.2">
      <c r="E776" s="11"/>
      <c r="F776" s="12"/>
      <c r="G776" s="12"/>
    </row>
    <row r="777" spans="5:7" ht="13.2">
      <c r="E777" s="11"/>
      <c r="F777" s="12"/>
      <c r="G777" s="12"/>
    </row>
    <row r="778" spans="5:7" ht="13.2">
      <c r="E778" s="11"/>
      <c r="F778" s="12"/>
      <c r="G778" s="12"/>
    </row>
    <row r="779" spans="5:7" ht="13.2">
      <c r="E779" s="11"/>
      <c r="F779" s="12"/>
      <c r="G779" s="12"/>
    </row>
    <row r="780" spans="5:7" ht="13.2">
      <c r="E780" s="11"/>
      <c r="F780" s="12"/>
      <c r="G780" s="12"/>
    </row>
    <row r="781" spans="5:7" ht="13.2">
      <c r="E781" s="11"/>
      <c r="F781" s="12"/>
      <c r="G781" s="12"/>
    </row>
    <row r="782" spans="5:7" ht="13.2">
      <c r="E782" s="11"/>
      <c r="F782" s="12"/>
      <c r="G782" s="12"/>
    </row>
    <row r="783" spans="5:7" ht="13.2">
      <c r="E783" s="11"/>
      <c r="F783" s="12"/>
      <c r="G783" s="12"/>
    </row>
    <row r="784" spans="5:7" ht="13.2">
      <c r="E784" s="11"/>
      <c r="F784" s="12"/>
      <c r="G784" s="12"/>
    </row>
    <row r="785" spans="5:7" ht="13.2">
      <c r="E785" s="11"/>
      <c r="F785" s="12"/>
      <c r="G785" s="12"/>
    </row>
    <row r="786" spans="5:7" ht="13.2">
      <c r="E786" s="11"/>
      <c r="F786" s="12"/>
      <c r="G786" s="12"/>
    </row>
    <row r="787" spans="5:7" ht="13.2">
      <c r="E787" s="11"/>
      <c r="F787" s="12"/>
      <c r="G787" s="12"/>
    </row>
    <row r="788" spans="5:7" ht="13.2">
      <c r="E788" s="11"/>
      <c r="F788" s="12"/>
      <c r="G788" s="12"/>
    </row>
    <row r="789" spans="5:7" ht="13.2">
      <c r="E789" s="11"/>
      <c r="F789" s="12"/>
      <c r="G789" s="12"/>
    </row>
    <row r="790" spans="5:7" ht="13.2">
      <c r="E790" s="11"/>
      <c r="F790" s="12"/>
      <c r="G790" s="12"/>
    </row>
    <row r="791" spans="5:7" ht="13.2">
      <c r="E791" s="11"/>
      <c r="F791" s="12"/>
      <c r="G791" s="12"/>
    </row>
    <row r="792" spans="5:7" ht="13.2">
      <c r="E792" s="11"/>
      <c r="F792" s="12"/>
      <c r="G792" s="12"/>
    </row>
    <row r="793" spans="5:7" ht="13.2">
      <c r="E793" s="11"/>
      <c r="F793" s="12"/>
      <c r="G793" s="12"/>
    </row>
    <row r="794" spans="5:7" ht="13.2">
      <c r="E794" s="11"/>
      <c r="F794" s="12"/>
      <c r="G794" s="12"/>
    </row>
    <row r="795" spans="5:7" ht="13.2">
      <c r="E795" s="11"/>
      <c r="F795" s="12"/>
      <c r="G795" s="12"/>
    </row>
    <row r="796" spans="5:7" ht="13.2">
      <c r="E796" s="11"/>
      <c r="F796" s="12"/>
      <c r="G796" s="12"/>
    </row>
    <row r="797" spans="5:7" ht="13.2">
      <c r="E797" s="11"/>
      <c r="F797" s="12"/>
      <c r="G797" s="12"/>
    </row>
    <row r="798" spans="5:7" ht="13.2">
      <c r="E798" s="11"/>
      <c r="F798" s="12"/>
      <c r="G798" s="12"/>
    </row>
    <row r="799" spans="5:7" ht="13.2">
      <c r="E799" s="11"/>
      <c r="F799" s="12"/>
      <c r="G799" s="12"/>
    </row>
    <row r="800" spans="5:7" ht="13.2">
      <c r="E800" s="11"/>
      <c r="F800" s="12"/>
      <c r="G800" s="12"/>
    </row>
    <row r="801" spans="5:7" ht="13.2">
      <c r="E801" s="11"/>
      <c r="F801" s="12"/>
      <c r="G801" s="12"/>
    </row>
    <row r="802" spans="5:7" ht="13.2">
      <c r="E802" s="11"/>
      <c r="F802" s="12"/>
      <c r="G802" s="12"/>
    </row>
    <row r="803" spans="5:7" ht="13.2">
      <c r="E803" s="11"/>
      <c r="F803" s="12"/>
      <c r="G803" s="12"/>
    </row>
    <row r="804" spans="5:7" ht="13.2">
      <c r="E804" s="11"/>
      <c r="F804" s="12"/>
      <c r="G804" s="12"/>
    </row>
    <row r="805" spans="5:7" ht="13.2">
      <c r="E805" s="11"/>
      <c r="F805" s="12"/>
      <c r="G805" s="12"/>
    </row>
    <row r="806" spans="5:7" ht="13.2">
      <c r="E806" s="11"/>
      <c r="F806" s="12"/>
      <c r="G806" s="12"/>
    </row>
    <row r="807" spans="5:7" ht="13.2">
      <c r="E807" s="11"/>
      <c r="F807" s="12"/>
      <c r="G807" s="12"/>
    </row>
    <row r="808" spans="5:7" ht="13.2">
      <c r="E808" s="11"/>
      <c r="F808" s="12"/>
      <c r="G808" s="12"/>
    </row>
    <row r="809" spans="5:7" ht="13.2">
      <c r="E809" s="11"/>
      <c r="F809" s="12"/>
      <c r="G809" s="12"/>
    </row>
    <row r="810" spans="5:7" ht="13.2">
      <c r="E810" s="11"/>
      <c r="F810" s="12"/>
      <c r="G810" s="12"/>
    </row>
    <row r="811" spans="5:7" ht="13.2">
      <c r="E811" s="11"/>
      <c r="F811" s="12"/>
      <c r="G811" s="12"/>
    </row>
    <row r="812" spans="5:7" ht="13.2">
      <c r="E812" s="11"/>
      <c r="F812" s="12"/>
      <c r="G812" s="12"/>
    </row>
    <row r="813" spans="5:7" ht="13.2">
      <c r="E813" s="11"/>
      <c r="F813" s="12"/>
      <c r="G813" s="12"/>
    </row>
    <row r="814" spans="5:7" ht="13.2">
      <c r="E814" s="11"/>
      <c r="F814" s="12"/>
      <c r="G814" s="12"/>
    </row>
    <row r="815" spans="5:7" ht="13.2">
      <c r="E815" s="11"/>
      <c r="F815" s="12"/>
      <c r="G815" s="12"/>
    </row>
    <row r="816" spans="5:7" ht="13.2">
      <c r="E816" s="11"/>
      <c r="F816" s="12"/>
      <c r="G816" s="12"/>
    </row>
    <row r="817" spans="5:7" ht="13.2">
      <c r="E817" s="11"/>
      <c r="F817" s="12"/>
      <c r="G817" s="12"/>
    </row>
    <row r="818" spans="5:7" ht="13.2">
      <c r="E818" s="11"/>
      <c r="F818" s="12"/>
      <c r="G818" s="12"/>
    </row>
    <row r="819" spans="5:7" ht="13.2">
      <c r="E819" s="11"/>
      <c r="F819" s="12"/>
      <c r="G819" s="12"/>
    </row>
    <row r="820" spans="5:7" ht="13.2">
      <c r="E820" s="11"/>
      <c r="F820" s="12"/>
      <c r="G820" s="12"/>
    </row>
    <row r="821" spans="5:7" ht="13.2">
      <c r="E821" s="11"/>
      <c r="F821" s="12"/>
      <c r="G821" s="12"/>
    </row>
    <row r="822" spans="5:7" ht="13.2">
      <c r="E822" s="11"/>
      <c r="F822" s="12"/>
      <c r="G822" s="12"/>
    </row>
    <row r="823" spans="5:7" ht="13.2">
      <c r="E823" s="11"/>
      <c r="F823" s="12"/>
      <c r="G823" s="12"/>
    </row>
    <row r="824" spans="5:7" ht="13.2">
      <c r="E824" s="11"/>
      <c r="F824" s="12"/>
      <c r="G824" s="12"/>
    </row>
    <row r="825" spans="5:7" ht="13.2">
      <c r="E825" s="11"/>
      <c r="F825" s="12"/>
      <c r="G825" s="12"/>
    </row>
    <row r="826" spans="5:7" ht="13.2">
      <c r="E826" s="11"/>
      <c r="F826" s="12"/>
      <c r="G826" s="12"/>
    </row>
    <row r="827" spans="5:7" ht="13.2">
      <c r="E827" s="11"/>
      <c r="F827" s="12"/>
      <c r="G827" s="12"/>
    </row>
    <row r="828" spans="5:7" ht="13.2">
      <c r="E828" s="11"/>
      <c r="F828" s="12"/>
      <c r="G828" s="12"/>
    </row>
    <row r="829" spans="5:7" ht="13.2">
      <c r="E829" s="11"/>
      <c r="F829" s="12"/>
      <c r="G829" s="12"/>
    </row>
    <row r="830" spans="5:7" ht="13.2">
      <c r="E830" s="11"/>
      <c r="F830" s="12"/>
      <c r="G830" s="12"/>
    </row>
    <row r="831" spans="5:7" ht="13.2">
      <c r="E831" s="11"/>
      <c r="F831" s="12"/>
      <c r="G831" s="12"/>
    </row>
    <row r="832" spans="5:7" ht="13.2">
      <c r="E832" s="11"/>
      <c r="F832" s="12"/>
      <c r="G832" s="12"/>
    </row>
    <row r="833" spans="5:7" ht="13.2">
      <c r="E833" s="11"/>
      <c r="F833" s="12"/>
      <c r="G833" s="12"/>
    </row>
    <row r="834" spans="5:7" ht="13.2">
      <c r="E834" s="11"/>
      <c r="F834" s="12"/>
      <c r="G834" s="12"/>
    </row>
    <row r="835" spans="5:7" ht="13.2">
      <c r="E835" s="11"/>
      <c r="F835" s="12"/>
      <c r="G835" s="12"/>
    </row>
    <row r="836" spans="5:7" ht="13.2">
      <c r="E836" s="11"/>
      <c r="F836" s="12"/>
      <c r="G836" s="12"/>
    </row>
    <row r="837" spans="5:7" ht="13.2">
      <c r="E837" s="11"/>
      <c r="F837" s="12"/>
      <c r="G837" s="12"/>
    </row>
    <row r="838" spans="5:7" ht="13.2">
      <c r="E838" s="11"/>
      <c r="F838" s="12"/>
      <c r="G838" s="12"/>
    </row>
    <row r="839" spans="5:7" ht="13.2">
      <c r="E839" s="11"/>
      <c r="F839" s="12"/>
      <c r="G839" s="12"/>
    </row>
    <row r="840" spans="5:7" ht="13.2">
      <c r="E840" s="11"/>
      <c r="F840" s="12"/>
      <c r="G840" s="12"/>
    </row>
    <row r="841" spans="5:7" ht="13.2">
      <c r="E841" s="11"/>
      <c r="F841" s="12"/>
      <c r="G841" s="12"/>
    </row>
    <row r="842" spans="5:7" ht="13.2">
      <c r="E842" s="11"/>
      <c r="F842" s="12"/>
      <c r="G842" s="12"/>
    </row>
    <row r="843" spans="5:7" ht="13.2">
      <c r="E843" s="11"/>
      <c r="F843" s="12"/>
      <c r="G843" s="12"/>
    </row>
    <row r="844" spans="5:7" ht="13.2">
      <c r="E844" s="11"/>
      <c r="F844" s="12"/>
      <c r="G844" s="12"/>
    </row>
    <row r="845" spans="5:7" ht="13.2">
      <c r="E845" s="11"/>
      <c r="F845" s="12"/>
      <c r="G845" s="12"/>
    </row>
    <row r="846" spans="5:7" ht="13.2">
      <c r="E846" s="11"/>
      <c r="F846" s="12"/>
      <c r="G846" s="12"/>
    </row>
    <row r="847" spans="5:7" ht="13.2">
      <c r="E847" s="11"/>
      <c r="F847" s="12"/>
      <c r="G847" s="12"/>
    </row>
    <row r="848" spans="5:7" ht="13.2">
      <c r="E848" s="11"/>
      <c r="F848" s="12"/>
      <c r="G848" s="12"/>
    </row>
    <row r="849" spans="5:7" ht="13.2">
      <c r="E849" s="11"/>
      <c r="F849" s="12"/>
      <c r="G849" s="12"/>
    </row>
    <row r="850" spans="5:7" ht="13.2">
      <c r="E850" s="11"/>
      <c r="F850" s="12"/>
      <c r="G850" s="12"/>
    </row>
    <row r="851" spans="5:7" ht="13.2">
      <c r="E851" s="11"/>
      <c r="F851" s="12"/>
      <c r="G851" s="12"/>
    </row>
    <row r="852" spans="5:7" ht="13.2">
      <c r="E852" s="11"/>
      <c r="F852" s="12"/>
      <c r="G852" s="12"/>
    </row>
    <row r="853" spans="5:7" ht="13.2">
      <c r="E853" s="11"/>
      <c r="F853" s="12"/>
      <c r="G853" s="12"/>
    </row>
    <row r="854" spans="5:7" ht="13.2">
      <c r="E854" s="11"/>
      <c r="F854" s="12"/>
      <c r="G854" s="12"/>
    </row>
    <row r="855" spans="5:7" ht="13.2">
      <c r="E855" s="11"/>
      <c r="F855" s="12"/>
      <c r="G855" s="12"/>
    </row>
    <row r="856" spans="5:7" ht="13.2">
      <c r="E856" s="11"/>
      <c r="F856" s="12"/>
      <c r="G856" s="12"/>
    </row>
    <row r="857" spans="5:7" ht="13.2">
      <c r="E857" s="11"/>
      <c r="F857" s="12"/>
      <c r="G857" s="12"/>
    </row>
    <row r="858" spans="5:7" ht="13.2">
      <c r="E858" s="11"/>
      <c r="F858" s="12"/>
      <c r="G858" s="12"/>
    </row>
    <row r="859" spans="5:7" ht="13.2">
      <c r="E859" s="11"/>
      <c r="F859" s="12"/>
      <c r="G859" s="12"/>
    </row>
    <row r="860" spans="5:7" ht="13.2">
      <c r="E860" s="11"/>
      <c r="F860" s="12"/>
      <c r="G860" s="12"/>
    </row>
    <row r="861" spans="5:7" ht="13.2">
      <c r="E861" s="11"/>
      <c r="F861" s="12"/>
      <c r="G861" s="12"/>
    </row>
    <row r="862" spans="5:7" ht="13.2">
      <c r="E862" s="11"/>
      <c r="F862" s="12"/>
      <c r="G862" s="12"/>
    </row>
    <row r="863" spans="5:7" ht="13.2">
      <c r="E863" s="11"/>
      <c r="F863" s="12"/>
      <c r="G863" s="12"/>
    </row>
    <row r="864" spans="5:7" ht="13.2">
      <c r="E864" s="11"/>
      <c r="F864" s="12"/>
      <c r="G864" s="12"/>
    </row>
    <row r="865" spans="5:7" ht="13.2">
      <c r="E865" s="11"/>
      <c r="F865" s="12"/>
      <c r="G865" s="12"/>
    </row>
    <row r="866" spans="5:7" ht="13.2">
      <c r="E866" s="11"/>
      <c r="F866" s="12"/>
      <c r="G866" s="12"/>
    </row>
    <row r="867" spans="5:7" ht="13.2">
      <c r="E867" s="11"/>
      <c r="F867" s="12"/>
      <c r="G867" s="12"/>
    </row>
    <row r="868" spans="5:7" ht="13.2">
      <c r="E868" s="11"/>
      <c r="F868" s="12"/>
      <c r="G868" s="12"/>
    </row>
    <row r="869" spans="5:7" ht="13.2">
      <c r="E869" s="11"/>
      <c r="F869" s="12"/>
      <c r="G869" s="12"/>
    </row>
    <row r="870" spans="5:7" ht="13.2">
      <c r="E870" s="11"/>
      <c r="F870" s="12"/>
      <c r="G870" s="12"/>
    </row>
    <row r="871" spans="5:7" ht="13.2">
      <c r="E871" s="11"/>
      <c r="F871" s="12"/>
      <c r="G871" s="12"/>
    </row>
    <row r="872" spans="5:7" ht="13.2">
      <c r="E872" s="11"/>
      <c r="F872" s="12"/>
      <c r="G872" s="12"/>
    </row>
    <row r="873" spans="5:7" ht="13.2">
      <c r="E873" s="11"/>
      <c r="F873" s="12"/>
      <c r="G873" s="12"/>
    </row>
    <row r="874" spans="5:7" ht="13.2">
      <c r="E874" s="11"/>
      <c r="F874" s="12"/>
      <c r="G874" s="12"/>
    </row>
    <row r="875" spans="5:7" ht="13.2">
      <c r="E875" s="11"/>
      <c r="F875" s="12"/>
      <c r="G875" s="12"/>
    </row>
    <row r="876" spans="5:7" ht="13.2">
      <c r="E876" s="11"/>
      <c r="F876" s="12"/>
      <c r="G876" s="12"/>
    </row>
    <row r="877" spans="5:7" ht="13.2">
      <c r="E877" s="11"/>
      <c r="F877" s="12"/>
      <c r="G877" s="12"/>
    </row>
    <row r="878" spans="5:7" ht="13.2">
      <c r="E878" s="11"/>
      <c r="F878" s="12"/>
      <c r="G878" s="12"/>
    </row>
    <row r="879" spans="5:7" ht="13.2">
      <c r="E879" s="11"/>
      <c r="F879" s="12"/>
      <c r="G879" s="12"/>
    </row>
    <row r="880" spans="5:7" ht="13.2">
      <c r="E880" s="11"/>
      <c r="F880" s="12"/>
      <c r="G880" s="12"/>
    </row>
    <row r="881" spans="5:7" ht="13.2">
      <c r="E881" s="11"/>
      <c r="F881" s="12"/>
      <c r="G881" s="12"/>
    </row>
    <row r="882" spans="5:7" ht="13.2">
      <c r="E882" s="11"/>
      <c r="F882" s="12"/>
      <c r="G882" s="12"/>
    </row>
    <row r="883" spans="5:7" ht="13.2">
      <c r="E883" s="11"/>
      <c r="F883" s="12"/>
      <c r="G883" s="12"/>
    </row>
    <row r="884" spans="5:7" ht="13.2">
      <c r="E884" s="11"/>
      <c r="F884" s="12"/>
      <c r="G884" s="12"/>
    </row>
    <row r="885" spans="5:7" ht="13.2">
      <c r="E885" s="11"/>
      <c r="F885" s="12"/>
      <c r="G885" s="12"/>
    </row>
    <row r="886" spans="5:7" ht="13.2">
      <c r="E886" s="11"/>
      <c r="F886" s="12"/>
      <c r="G886" s="12"/>
    </row>
    <row r="887" spans="5:7" ht="13.2">
      <c r="E887" s="11"/>
      <c r="F887" s="12"/>
      <c r="G887" s="12"/>
    </row>
    <row r="888" spans="5:7" ht="13.2">
      <c r="E888" s="11"/>
      <c r="F888" s="12"/>
      <c r="G888" s="12"/>
    </row>
    <row r="889" spans="5:7" ht="13.2">
      <c r="E889" s="11"/>
      <c r="F889" s="12"/>
      <c r="G889" s="12"/>
    </row>
    <row r="890" spans="5:7" ht="13.2">
      <c r="E890" s="11"/>
      <c r="F890" s="12"/>
      <c r="G890" s="12"/>
    </row>
    <row r="891" spans="5:7" ht="13.2">
      <c r="E891" s="11"/>
      <c r="F891" s="12"/>
      <c r="G891" s="12"/>
    </row>
    <row r="892" spans="5:7" ht="13.2">
      <c r="E892" s="11"/>
      <c r="F892" s="12"/>
      <c r="G892" s="12"/>
    </row>
    <row r="893" spans="5:7" ht="13.2">
      <c r="E893" s="11"/>
      <c r="F893" s="12"/>
      <c r="G893" s="12"/>
    </row>
    <row r="894" spans="5:7" ht="13.2">
      <c r="E894" s="11"/>
      <c r="F894" s="12"/>
      <c r="G894" s="12"/>
    </row>
    <row r="895" spans="5:7" ht="13.2">
      <c r="E895" s="11"/>
      <c r="F895" s="12"/>
      <c r="G895" s="12"/>
    </row>
    <row r="896" spans="5:7" ht="13.2">
      <c r="E896" s="11"/>
      <c r="F896" s="12"/>
      <c r="G896" s="12"/>
    </row>
    <row r="897" spans="5:7" ht="13.2">
      <c r="E897" s="11"/>
      <c r="F897" s="12"/>
      <c r="G897" s="12"/>
    </row>
    <row r="898" spans="5:7" ht="13.2">
      <c r="E898" s="11"/>
      <c r="F898" s="12"/>
      <c r="G898" s="12"/>
    </row>
    <row r="899" spans="5:7" ht="13.2">
      <c r="E899" s="11"/>
      <c r="F899" s="12"/>
      <c r="G899" s="12"/>
    </row>
    <row r="900" spans="5:7" ht="13.2">
      <c r="E900" s="11"/>
      <c r="F900" s="12"/>
      <c r="G900" s="12"/>
    </row>
    <row r="901" spans="5:7" ht="13.2">
      <c r="E901" s="11"/>
      <c r="F901" s="12"/>
      <c r="G901" s="12"/>
    </row>
    <row r="902" spans="5:7" ht="13.2">
      <c r="E902" s="11"/>
      <c r="F902" s="12"/>
      <c r="G902" s="12"/>
    </row>
    <row r="903" spans="5:7" ht="13.2">
      <c r="E903" s="11"/>
      <c r="F903" s="12"/>
      <c r="G903" s="12"/>
    </row>
    <row r="904" spans="5:7" ht="13.2">
      <c r="E904" s="11"/>
      <c r="F904" s="12"/>
      <c r="G904" s="12"/>
    </row>
    <row r="905" spans="5:7" ht="13.2">
      <c r="E905" s="11"/>
      <c r="F905" s="12"/>
      <c r="G905" s="12"/>
    </row>
    <row r="906" spans="5:7" ht="13.2">
      <c r="E906" s="11"/>
      <c r="F906" s="12"/>
      <c r="G906" s="12"/>
    </row>
    <row r="907" spans="5:7" ht="13.2">
      <c r="E907" s="11"/>
      <c r="F907" s="12"/>
      <c r="G907" s="12"/>
    </row>
    <row r="908" spans="5:7" ht="13.2">
      <c r="E908" s="11"/>
      <c r="F908" s="12"/>
      <c r="G908" s="12"/>
    </row>
    <row r="909" spans="5:7" ht="13.2">
      <c r="E909" s="11"/>
      <c r="F909" s="12"/>
      <c r="G909" s="12"/>
    </row>
    <row r="910" spans="5:7" ht="13.2">
      <c r="E910" s="11"/>
      <c r="F910" s="12"/>
      <c r="G910" s="12"/>
    </row>
    <row r="911" spans="5:7" ht="13.2">
      <c r="E911" s="11"/>
      <c r="F911" s="12"/>
      <c r="G911" s="12"/>
    </row>
    <row r="912" spans="5:7" ht="13.2">
      <c r="E912" s="11"/>
      <c r="F912" s="12"/>
      <c r="G912" s="12"/>
    </row>
    <row r="913" spans="5:7" ht="13.2">
      <c r="E913" s="11"/>
      <c r="F913" s="12"/>
      <c r="G913" s="12"/>
    </row>
    <row r="914" spans="5:7" ht="13.2">
      <c r="E914" s="11"/>
      <c r="F914" s="12"/>
      <c r="G914" s="12"/>
    </row>
    <row r="915" spans="5:7" ht="13.2">
      <c r="E915" s="11"/>
      <c r="F915" s="12"/>
      <c r="G915" s="12"/>
    </row>
    <row r="916" spans="5:7" ht="13.2">
      <c r="E916" s="11"/>
      <c r="F916" s="12"/>
      <c r="G916" s="12"/>
    </row>
    <row r="917" spans="5:7" ht="13.2">
      <c r="E917" s="11"/>
      <c r="F917" s="12"/>
      <c r="G917" s="12"/>
    </row>
    <row r="918" spans="5:7" ht="13.2">
      <c r="E918" s="11"/>
      <c r="F918" s="12"/>
      <c r="G918" s="12"/>
    </row>
    <row r="919" spans="5:7" ht="13.2">
      <c r="E919" s="11"/>
      <c r="F919" s="12"/>
      <c r="G919" s="12"/>
    </row>
    <row r="920" spans="5:7" ht="13.2">
      <c r="E920" s="11"/>
      <c r="F920" s="12"/>
      <c r="G920" s="12"/>
    </row>
    <row r="921" spans="5:7" ht="13.2">
      <c r="E921" s="11"/>
      <c r="F921" s="12"/>
      <c r="G921" s="12"/>
    </row>
    <row r="922" spans="5:7" ht="13.2">
      <c r="E922" s="11"/>
      <c r="F922" s="12"/>
      <c r="G922" s="12"/>
    </row>
    <row r="923" spans="5:7" ht="13.2">
      <c r="E923" s="11"/>
      <c r="F923" s="12"/>
      <c r="G923" s="12"/>
    </row>
    <row r="924" spans="5:7" ht="13.2">
      <c r="E924" s="11"/>
      <c r="F924" s="12"/>
      <c r="G924" s="12"/>
    </row>
    <row r="925" spans="5:7" ht="13.2">
      <c r="E925" s="11"/>
      <c r="F925" s="12"/>
      <c r="G925" s="12"/>
    </row>
    <row r="926" spans="5:7" ht="13.2">
      <c r="E926" s="11"/>
      <c r="F926" s="12"/>
      <c r="G926" s="12"/>
    </row>
    <row r="927" spans="5:7" ht="13.2">
      <c r="E927" s="11"/>
      <c r="F927" s="12"/>
      <c r="G927" s="12"/>
    </row>
    <row r="928" spans="5:7" ht="13.2">
      <c r="E928" s="11"/>
      <c r="F928" s="12"/>
      <c r="G928" s="12"/>
    </row>
    <row r="929" spans="5:7" ht="13.2">
      <c r="E929" s="11"/>
      <c r="F929" s="12"/>
      <c r="G929" s="12"/>
    </row>
    <row r="930" spans="5:7" ht="13.2">
      <c r="E930" s="11"/>
      <c r="F930" s="12"/>
      <c r="G930" s="12"/>
    </row>
    <row r="931" spans="5:7" ht="13.2">
      <c r="E931" s="11"/>
      <c r="F931" s="12"/>
      <c r="G931" s="12"/>
    </row>
    <row r="932" spans="5:7" ht="13.2">
      <c r="E932" s="11"/>
      <c r="F932" s="12"/>
      <c r="G932" s="12"/>
    </row>
    <row r="933" spans="5:7" ht="13.2">
      <c r="E933" s="11"/>
      <c r="F933" s="12"/>
      <c r="G933" s="12"/>
    </row>
    <row r="934" spans="5:7" ht="13.2">
      <c r="E934" s="11"/>
      <c r="F934" s="12"/>
      <c r="G934" s="12"/>
    </row>
    <row r="935" spans="5:7" ht="13.2">
      <c r="E935" s="11"/>
      <c r="F935" s="12"/>
      <c r="G935" s="12"/>
    </row>
    <row r="936" spans="5:7" ht="13.2">
      <c r="E936" s="11"/>
      <c r="F936" s="12"/>
      <c r="G936" s="12"/>
    </row>
    <row r="937" spans="5:7" ht="13.2">
      <c r="E937" s="11"/>
      <c r="F937" s="12"/>
      <c r="G937" s="12"/>
    </row>
    <row r="938" spans="5:7" ht="13.2">
      <c r="E938" s="11"/>
      <c r="F938" s="12"/>
      <c r="G938" s="12"/>
    </row>
    <row r="939" spans="5:7" ht="13.2">
      <c r="E939" s="11"/>
      <c r="F939" s="12"/>
      <c r="G939" s="12"/>
    </row>
    <row r="940" spans="5:7" ht="13.2">
      <c r="E940" s="11"/>
      <c r="F940" s="12"/>
      <c r="G940" s="12"/>
    </row>
    <row r="941" spans="5:7" ht="13.2">
      <c r="E941" s="11"/>
      <c r="F941" s="12"/>
      <c r="G941" s="12"/>
    </row>
    <row r="942" spans="5:7" ht="13.2">
      <c r="E942" s="11"/>
      <c r="F942" s="12"/>
      <c r="G942" s="12"/>
    </row>
    <row r="943" spans="5:7" ht="13.2">
      <c r="E943" s="11"/>
      <c r="F943" s="12"/>
      <c r="G943" s="12"/>
    </row>
    <row r="944" spans="5:7" ht="13.2">
      <c r="E944" s="11"/>
      <c r="F944" s="12"/>
      <c r="G944" s="12"/>
    </row>
    <row r="945" spans="5:7" ht="13.2">
      <c r="E945" s="11"/>
      <c r="F945" s="12"/>
      <c r="G945" s="12"/>
    </row>
    <row r="946" spans="5:7" ht="13.2">
      <c r="E946" s="11"/>
      <c r="F946" s="12"/>
      <c r="G946" s="12"/>
    </row>
    <row r="947" spans="5:7" ht="13.2">
      <c r="E947" s="11"/>
      <c r="F947" s="12"/>
      <c r="G947" s="12"/>
    </row>
    <row r="948" spans="5:7" ht="13.2">
      <c r="E948" s="11"/>
      <c r="F948" s="12"/>
      <c r="G948" s="12"/>
    </row>
    <row r="949" spans="5:7" ht="13.2">
      <c r="E949" s="11"/>
      <c r="F949" s="12"/>
      <c r="G949" s="12"/>
    </row>
    <row r="950" spans="5:7" ht="13.2">
      <c r="E950" s="11"/>
      <c r="F950" s="12"/>
      <c r="G950" s="12"/>
    </row>
    <row r="951" spans="5:7" ht="13.2">
      <c r="E951" s="11"/>
      <c r="F951" s="12"/>
      <c r="G951" s="12"/>
    </row>
    <row r="952" spans="5:7" ht="13.2">
      <c r="E952" s="11"/>
      <c r="F952" s="12"/>
      <c r="G952" s="12"/>
    </row>
    <row r="953" spans="5:7" ht="13.2">
      <c r="E953" s="11"/>
      <c r="F953" s="12"/>
      <c r="G953" s="12"/>
    </row>
    <row r="954" spans="5:7" ht="13.2">
      <c r="E954" s="11"/>
      <c r="F954" s="12"/>
      <c r="G954" s="12"/>
    </row>
    <row r="955" spans="5:7" ht="13.2">
      <c r="E955" s="11"/>
      <c r="F955" s="12"/>
      <c r="G955" s="12"/>
    </row>
    <row r="956" spans="5:7" ht="13.2">
      <c r="E956" s="11"/>
      <c r="F956" s="12"/>
      <c r="G956" s="12"/>
    </row>
    <row r="957" spans="5:7" ht="13.2">
      <c r="E957" s="11"/>
      <c r="F957" s="12"/>
      <c r="G957" s="12"/>
    </row>
    <row r="958" spans="5:7" ht="13.2">
      <c r="E958" s="11"/>
      <c r="F958" s="12"/>
      <c r="G958" s="12"/>
    </row>
    <row r="959" spans="5:7" ht="13.2">
      <c r="E959" s="11"/>
      <c r="F959" s="12"/>
      <c r="G959" s="12"/>
    </row>
    <row r="960" spans="5:7" ht="13.2">
      <c r="E960" s="11"/>
      <c r="F960" s="12"/>
      <c r="G960" s="12"/>
    </row>
    <row r="961" spans="5:7" ht="13.2">
      <c r="E961" s="11"/>
      <c r="F961" s="12"/>
      <c r="G961" s="12"/>
    </row>
    <row r="962" spans="5:7" ht="13.2">
      <c r="E962" s="11"/>
      <c r="F962" s="12"/>
      <c r="G962" s="12"/>
    </row>
    <row r="963" spans="5:7" ht="13.2">
      <c r="E963" s="11"/>
      <c r="F963" s="12"/>
      <c r="G963" s="12"/>
    </row>
    <row r="964" spans="5:7" ht="13.2">
      <c r="E964" s="11"/>
      <c r="F964" s="12"/>
      <c r="G964" s="12"/>
    </row>
    <row r="965" spans="5:7" ht="13.2">
      <c r="E965" s="11"/>
      <c r="F965" s="12"/>
      <c r="G965" s="12"/>
    </row>
    <row r="966" spans="5:7" ht="13.2">
      <c r="E966" s="11"/>
      <c r="F966" s="12"/>
      <c r="G966" s="12"/>
    </row>
    <row r="967" spans="5:7" ht="13.2">
      <c r="E967" s="11"/>
      <c r="F967" s="12"/>
      <c r="G967" s="12"/>
    </row>
    <row r="968" spans="5:7" ht="13.2">
      <c r="E968" s="11"/>
      <c r="F968" s="12"/>
      <c r="G968" s="12"/>
    </row>
    <row r="969" spans="5:7" ht="13.2">
      <c r="E969" s="11"/>
      <c r="F969" s="12"/>
      <c r="G969" s="12"/>
    </row>
    <row r="970" spans="5:7" ht="13.2">
      <c r="E970" s="11"/>
      <c r="F970" s="12"/>
      <c r="G970" s="12"/>
    </row>
    <row r="971" spans="5:7" ht="13.2">
      <c r="E971" s="11"/>
      <c r="F971" s="12"/>
      <c r="G971" s="12"/>
    </row>
    <row r="972" spans="5:7" ht="13.2">
      <c r="E972" s="11"/>
      <c r="F972" s="12"/>
      <c r="G972" s="12"/>
    </row>
    <row r="973" spans="5:7" ht="13.2">
      <c r="E973" s="11"/>
      <c r="F973" s="12"/>
      <c r="G973" s="12"/>
    </row>
    <row r="974" spans="5:7" ht="13.2">
      <c r="E974" s="11"/>
      <c r="F974" s="12"/>
      <c r="G974" s="12"/>
    </row>
    <row r="975" spans="5:7" ht="13.2">
      <c r="E975" s="11"/>
      <c r="F975" s="12"/>
      <c r="G975" s="12"/>
    </row>
    <row r="976" spans="5:7" ht="13.2">
      <c r="E976" s="11"/>
      <c r="F976" s="12"/>
      <c r="G976" s="12"/>
    </row>
    <row r="977" spans="5:7" ht="13.2">
      <c r="E977" s="11"/>
      <c r="F977" s="12"/>
      <c r="G977" s="12"/>
    </row>
    <row r="978" spans="5:7" ht="13.2">
      <c r="E978" s="11"/>
      <c r="F978" s="12"/>
      <c r="G978" s="12"/>
    </row>
  </sheetData>
  <autoFilter ref="A1:L57" xr:uid="{6F2C8851-E0CB-4DAF-9D3F-D05EDE94084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K944"/>
  <sheetViews>
    <sheetView workbookViewId="0">
      <pane ySplit="1" topLeftCell="A2" activePane="bottomLeft" state="frozen"/>
      <selection pane="bottomLeft" activeCell="B3" sqref="B3"/>
    </sheetView>
  </sheetViews>
  <sheetFormatPr defaultColWidth="14.44140625" defaultRowHeight="15.75" customHeight="1"/>
  <cols>
    <col min="1" max="1" width="40.44140625" customWidth="1"/>
    <col min="2" max="2" width="10.6640625" customWidth="1"/>
    <col min="3" max="3" width="23" customWidth="1"/>
    <col min="4" max="4" width="36.109375" customWidth="1"/>
    <col min="7" max="7" width="16.44140625" customWidth="1"/>
    <col min="8" max="8" width="15.88671875" customWidth="1"/>
    <col min="10" max="10" width="18.44140625" customWidth="1"/>
    <col min="11" max="11" width="36.44140625" customWidth="1"/>
  </cols>
  <sheetData>
    <row r="1" spans="1:11" ht="15.75" customHeight="1">
      <c r="A1" s="13" t="s">
        <v>3</v>
      </c>
      <c r="B1" s="13" t="s">
        <v>2</v>
      </c>
      <c r="C1" s="13" t="s">
        <v>5</v>
      </c>
      <c r="D1" s="13" t="s">
        <v>65</v>
      </c>
      <c r="E1" s="14" t="s">
        <v>4</v>
      </c>
      <c r="F1" s="13" t="s">
        <v>11</v>
      </c>
      <c r="G1" s="13" t="s">
        <v>12</v>
      </c>
      <c r="H1" s="13" t="s">
        <v>69</v>
      </c>
      <c r="I1" s="13" t="s">
        <v>70</v>
      </c>
      <c r="J1" s="13" t="s">
        <v>71</v>
      </c>
      <c r="K1" s="13" t="s">
        <v>73</v>
      </c>
    </row>
    <row r="2" spans="1:11" ht="15.75" customHeight="1">
      <c r="A2" s="10" t="str">
        <f>HYPERLINK("https://www.alltrails.com/explore/trail/us/colorado/ouzel-falls-trail","Ouzel Falls")</f>
        <v>Ouzel Falls</v>
      </c>
      <c r="C2" s="3" t="s">
        <v>93</v>
      </c>
      <c r="D2" s="3" t="s">
        <v>94</v>
      </c>
      <c r="E2" s="15">
        <v>5</v>
      </c>
      <c r="F2" s="3">
        <v>948</v>
      </c>
      <c r="G2" s="3">
        <v>9390</v>
      </c>
      <c r="H2" s="3">
        <v>1.5</v>
      </c>
      <c r="I2" s="3">
        <v>3</v>
      </c>
    </row>
    <row r="3" spans="1:11" ht="15.75" customHeight="1">
      <c r="A3" s="10" t="str">
        <f>HYPERLINK("https://www.alltrails.com/trail/us/colorado/picketwire-canyon-trail","Picketwire Canyon Trail")</f>
        <v>Picketwire Canyon Trail</v>
      </c>
      <c r="C3" s="3" t="s">
        <v>95</v>
      </c>
      <c r="D3" s="3" t="s">
        <v>96</v>
      </c>
      <c r="E3" s="15">
        <v>16.7</v>
      </c>
      <c r="F3" s="3">
        <v>826</v>
      </c>
      <c r="G3" s="3">
        <v>4633</v>
      </c>
      <c r="H3" s="3">
        <v>3.5</v>
      </c>
      <c r="I3" s="3">
        <v>5</v>
      </c>
      <c r="J3" s="16" t="s">
        <v>66</v>
      </c>
      <c r="K3" s="10" t="str">
        <f>HYPERLINK("https://visitlajunta.net/play/","Dinasour tracks.  Also, visit in the town La Junta (link for things to do).")</f>
        <v>Dinasour tracks.  Also, visit in the town La Junta (link for things to do).</v>
      </c>
    </row>
    <row r="4" spans="1:11" ht="15.75" customHeight="1">
      <c r="A4" s="10" t="str">
        <f>HYPERLINK("https://www.summitpost.org/star-dune/521204","Star Dune")</f>
        <v>Star Dune</v>
      </c>
      <c r="C4" s="3" t="s">
        <v>101</v>
      </c>
      <c r="D4" s="3" t="s">
        <v>102</v>
      </c>
      <c r="E4" s="15">
        <v>5.4</v>
      </c>
      <c r="F4" s="3">
        <v>1000</v>
      </c>
      <c r="G4" s="3">
        <v>9000</v>
      </c>
      <c r="H4" s="3">
        <v>3.75</v>
      </c>
      <c r="I4" s="3">
        <v>5</v>
      </c>
      <c r="J4" s="16" t="s">
        <v>66</v>
      </c>
      <c r="K4" s="3" t="s">
        <v>103</v>
      </c>
    </row>
    <row r="5" spans="1:11" ht="15.75" customHeight="1">
      <c r="A5" s="10" t="str">
        <f>HYPERLINK("https://www.alltrails.com/explore/trail/us/colorado/crystal-mill","Crystal Mill")</f>
        <v>Crystal Mill</v>
      </c>
      <c r="C5" s="3" t="s">
        <v>104</v>
      </c>
      <c r="D5" s="3" t="s">
        <v>105</v>
      </c>
      <c r="E5" s="15">
        <v>8.1999999999999993</v>
      </c>
      <c r="F5" s="3">
        <v>1040</v>
      </c>
      <c r="G5" s="3">
        <v>8900</v>
      </c>
      <c r="H5" s="3">
        <v>3.75</v>
      </c>
      <c r="I5" s="3">
        <v>5</v>
      </c>
      <c r="J5" s="16" t="s">
        <v>66</v>
      </c>
    </row>
    <row r="6" spans="1:11" ht="15.75" customHeight="1">
      <c r="A6" s="10" t="str">
        <f>HYPERLINK("https://www.alltrails.com/explore/trail/us/colorado/rattlesnake-arches","Rattlesnake Arches Trail")</f>
        <v>Rattlesnake Arches Trail</v>
      </c>
      <c r="C6" s="3" t="s">
        <v>112</v>
      </c>
      <c r="D6" s="3" t="s">
        <v>113</v>
      </c>
      <c r="E6" s="11">
        <v>13.5</v>
      </c>
      <c r="F6" s="12">
        <v>2444</v>
      </c>
      <c r="G6" s="3">
        <v>5530</v>
      </c>
      <c r="H6" s="3">
        <v>4.5</v>
      </c>
      <c r="I6" s="3">
        <v>5</v>
      </c>
      <c r="J6" s="3" t="s">
        <v>66</v>
      </c>
      <c r="K6" s="3" t="s">
        <v>114</v>
      </c>
    </row>
    <row r="7" spans="1:11" ht="15.75" customHeight="1">
      <c r="A7" s="10" t="str">
        <f>HYPERLINK("https://www.alltrails.com/explore/trail/us/colorado/mount-parnassus-via-watrous-gulch","Mount Parnassus via Waltruous Gulch")</f>
        <v>Mount Parnassus via Waltruous Gulch</v>
      </c>
      <c r="C7" s="3" t="s">
        <v>124</v>
      </c>
      <c r="D7" s="3" t="s">
        <v>125</v>
      </c>
      <c r="E7" s="17">
        <v>6.7</v>
      </c>
      <c r="F7" s="15">
        <v>3280</v>
      </c>
      <c r="G7" s="3">
        <v>13580</v>
      </c>
      <c r="H7" s="3">
        <v>1.25</v>
      </c>
      <c r="I7" s="3">
        <v>4</v>
      </c>
      <c r="J7" s="3"/>
      <c r="K7" s="3" t="s">
        <v>127</v>
      </c>
    </row>
    <row r="8" spans="1:11" ht="15.75" customHeight="1">
      <c r="A8" s="10" t="str">
        <f>HYPERLINK("https://www.alltrails.com/trail/us/colorado/bakers-tank","Bakers Tank")</f>
        <v>Bakers Tank</v>
      </c>
      <c r="B8" s="3"/>
      <c r="C8" s="3" t="s">
        <v>10</v>
      </c>
      <c r="D8" s="3" t="s">
        <v>133</v>
      </c>
      <c r="E8" s="11">
        <v>5.0999999999999996</v>
      </c>
      <c r="F8" s="12">
        <v>882</v>
      </c>
      <c r="G8" s="12">
        <v>11050</v>
      </c>
      <c r="H8" s="3">
        <v>1.75</v>
      </c>
      <c r="I8" s="3">
        <v>4</v>
      </c>
      <c r="J8" s="16" t="s">
        <v>66</v>
      </c>
      <c r="K8" s="3" t="s">
        <v>135</v>
      </c>
    </row>
    <row r="9" spans="1:11" ht="15.75" customHeight="1">
      <c r="A9" s="10" t="str">
        <f>HYPERLINK("https://www.alltrails.com/explore/trail/us/colorado/tungsten-and-kinnickinnick-loop-at-mud-lake-open-space-park","Tungsten and Kinnickinnick Loop at Mud Lake")</f>
        <v>Tungsten and Kinnickinnick Loop at Mud Lake</v>
      </c>
      <c r="C9" s="3" t="s">
        <v>142</v>
      </c>
      <c r="D9" s="3" t="s">
        <v>143</v>
      </c>
      <c r="E9" s="15">
        <v>4.4000000000000004</v>
      </c>
      <c r="F9" s="15">
        <v>456</v>
      </c>
      <c r="G9" s="3">
        <v>8570</v>
      </c>
      <c r="H9" s="3">
        <v>1.25</v>
      </c>
      <c r="I9" s="3">
        <v>5</v>
      </c>
      <c r="J9" s="3"/>
      <c r="K9" s="3" t="s">
        <v>144</v>
      </c>
    </row>
    <row r="10" spans="1:11" ht="15.75" customHeight="1">
      <c r="A10" s="10" t="str">
        <f>HYPERLINK("https://www.alltrails.com/explore/trail/us/colorado/mount-morrison-south-ridge-trail","Mount Morrison South Ridge")</f>
        <v>Mount Morrison South Ridge</v>
      </c>
      <c r="C10" s="3" t="s">
        <v>23</v>
      </c>
      <c r="D10" s="3" t="s">
        <v>148</v>
      </c>
      <c r="E10" s="15" t="s">
        <v>149</v>
      </c>
      <c r="F10" s="15">
        <v>1865</v>
      </c>
      <c r="G10" s="3">
        <v>7800</v>
      </c>
      <c r="H10" s="3">
        <v>0.5</v>
      </c>
      <c r="I10" s="3">
        <v>2</v>
      </c>
      <c r="J10" s="3" t="s">
        <v>66</v>
      </c>
      <c r="K10" s="3" t="s">
        <v>150</v>
      </c>
    </row>
    <row r="11" spans="1:11" ht="15.75" customHeight="1">
      <c r="A11" s="19" t="str">
        <f>HYPERLINK("https://www.alltrails.com/trail/us/colorado/bear-peak-trail","Bear Peak Trail")</f>
        <v>Bear Peak Trail</v>
      </c>
      <c r="C11" s="3" t="s">
        <v>9</v>
      </c>
      <c r="D11" s="3" t="s">
        <v>153</v>
      </c>
      <c r="E11" s="17">
        <v>7.7</v>
      </c>
      <c r="F11" s="15">
        <v>2847</v>
      </c>
      <c r="G11" s="3">
        <v>8450</v>
      </c>
      <c r="H11" s="3">
        <v>0.75</v>
      </c>
      <c r="I11" s="3">
        <v>2</v>
      </c>
      <c r="J11" s="3" t="s">
        <v>66</v>
      </c>
      <c r="K11" s="3" t="s">
        <v>154</v>
      </c>
    </row>
    <row r="12" spans="1:11" ht="15.75" customHeight="1">
      <c r="A12" s="10" t="str">
        <f>HYPERLINK("https://www.alltrails.com/trail/us/colorado/windy-peak-via-mountain-lion-and-burro-trail-loop","Burro / Mountain Lion / Windy Peak")</f>
        <v>Burro / Mountain Lion / Windy Peak</v>
      </c>
      <c r="B12" s="3"/>
      <c r="C12" s="3" t="s">
        <v>156</v>
      </c>
      <c r="D12" s="3" t="s">
        <v>157</v>
      </c>
      <c r="E12" s="11">
        <v>6.2</v>
      </c>
      <c r="F12" s="12">
        <v>1765</v>
      </c>
      <c r="G12" s="12">
        <v>9140</v>
      </c>
      <c r="H12" s="3">
        <v>1</v>
      </c>
      <c r="I12" s="3">
        <v>2</v>
      </c>
      <c r="J12" s="3" t="s">
        <v>66</v>
      </c>
      <c r="K12" s="3" t="s">
        <v>154</v>
      </c>
    </row>
    <row r="13" spans="1:11" ht="15.75" customHeight="1">
      <c r="A13" s="10" t="str">
        <f>HYPERLINK("https://www.alltrails.com/explore/trail/us/colorado/m-walter-pesman-trail","M. Walter Pesman Trail")</f>
        <v>M. Walter Pesman Trail</v>
      </c>
      <c r="C13" s="3" t="s">
        <v>21</v>
      </c>
      <c r="D13" s="3" t="s">
        <v>164</v>
      </c>
      <c r="E13" s="15">
        <v>2.7</v>
      </c>
      <c r="F13" s="15">
        <v>761</v>
      </c>
      <c r="G13" s="3">
        <v>12210</v>
      </c>
      <c r="H13" s="3">
        <v>1.25</v>
      </c>
      <c r="I13" s="3">
        <v>2</v>
      </c>
      <c r="J13" s="3" t="s">
        <v>66</v>
      </c>
      <c r="K13" s="3" t="s">
        <v>166</v>
      </c>
    </row>
    <row r="14" spans="1:11" ht="15.75" customHeight="1">
      <c r="A14" s="10" t="str">
        <f>HYPERLINK("https://www.alltrails.com/explore/trail/us/colorado/inner-canyon-loop-trail","Castlewood Canyon Dam")</f>
        <v>Castlewood Canyon Dam</v>
      </c>
      <c r="C14" s="3" t="s">
        <v>167</v>
      </c>
      <c r="D14" s="3" t="s">
        <v>168</v>
      </c>
      <c r="E14" s="15">
        <v>5.8</v>
      </c>
      <c r="F14" s="3">
        <v>695</v>
      </c>
      <c r="G14" s="3">
        <v>6680</v>
      </c>
      <c r="H14" s="3">
        <v>0.75</v>
      </c>
      <c r="I14" s="3">
        <v>3</v>
      </c>
      <c r="J14" s="3" t="s">
        <v>66</v>
      </c>
      <c r="K14" s="3" t="s">
        <v>169</v>
      </c>
    </row>
    <row r="15" spans="1:11" ht="15.75" customHeight="1">
      <c r="A15" s="10" t="str">
        <f>HYPERLINK("https://www.alltrails.com/explore/trail/us/colorado/upper-cheesman-canyon-trail","Upper Cheesman Canyon Trail")</f>
        <v>Upper Cheesman Canyon Trail</v>
      </c>
      <c r="C15" s="3" t="s">
        <v>174</v>
      </c>
      <c r="D15" s="3" t="s">
        <v>175</v>
      </c>
      <c r="E15" s="15" t="s">
        <v>149</v>
      </c>
      <c r="F15" s="15" t="s">
        <v>176</v>
      </c>
      <c r="G15" s="3">
        <v>7260</v>
      </c>
      <c r="H15" s="3">
        <v>1.5</v>
      </c>
      <c r="I15" s="3">
        <v>5</v>
      </c>
      <c r="J15" s="3" t="s">
        <v>66</v>
      </c>
      <c r="K15" s="3" t="s">
        <v>114</v>
      </c>
    </row>
    <row r="16" spans="1:11" ht="15.75" customHeight="1">
      <c r="A16" s="10" t="str">
        <f>HYPERLINK("https://www.alltrails.com/explore/trail/us/colorado/kelso-mountain","Kelso Mountain")</f>
        <v>Kelso Mountain</v>
      </c>
      <c r="B16" s="3"/>
      <c r="C16" s="3" t="s">
        <v>179</v>
      </c>
      <c r="D16" s="3" t="s">
        <v>125</v>
      </c>
      <c r="E16" s="11">
        <v>5.9</v>
      </c>
      <c r="F16" s="12">
        <v>2322</v>
      </c>
      <c r="G16" s="12">
        <v>13160</v>
      </c>
      <c r="H16" s="3">
        <v>1.5</v>
      </c>
      <c r="I16" s="3">
        <v>4</v>
      </c>
    </row>
    <row r="17" spans="1:11" ht="15.75" customHeight="1">
      <c r="A17" s="10" t="str">
        <f>HYPERLINK("https://www.alltrails.com/explore/trail/us/colorado/chihuahua-lake-trail","Chihuahua Gulch Trail")</f>
        <v>Chihuahua Gulch Trail</v>
      </c>
      <c r="C17" s="3" t="s">
        <v>179</v>
      </c>
      <c r="D17" s="3" t="s">
        <v>133</v>
      </c>
      <c r="E17" s="17">
        <v>7.2</v>
      </c>
      <c r="F17" s="15">
        <v>1879</v>
      </c>
      <c r="G17" s="3">
        <v>12260</v>
      </c>
      <c r="H17" s="3">
        <v>1.75</v>
      </c>
      <c r="I17" s="3">
        <v>4</v>
      </c>
    </row>
    <row r="18" spans="1:11" ht="15.75" customHeight="1">
      <c r="A18" s="10" t="str">
        <f>HYPERLINK("https://www.alltrails.com/trail/us/colorado/argentine-north-fork-trail","Argentine Pass")</f>
        <v>Argentine Pass</v>
      </c>
      <c r="C18" s="3" t="s">
        <v>179</v>
      </c>
      <c r="D18" s="3" t="s">
        <v>133</v>
      </c>
      <c r="E18" s="11">
        <v>4.8</v>
      </c>
      <c r="F18" s="12">
        <v>2001</v>
      </c>
      <c r="G18" s="3">
        <v>13190</v>
      </c>
      <c r="H18" s="3">
        <v>2</v>
      </c>
      <c r="I18" s="3">
        <v>3</v>
      </c>
      <c r="J18" s="3"/>
      <c r="K18" s="3" t="s">
        <v>180</v>
      </c>
    </row>
    <row r="19" spans="1:11" ht="15.75" customHeight="1">
      <c r="A19" s="10" t="str">
        <f>HYPERLINK("https://www.alltrails.com/explore/trail/us/colorado/parry-peak-and-mount-bancroft","Parry Peak and Mount Bancroft")</f>
        <v>Parry Peak and Mount Bancroft</v>
      </c>
      <c r="C19" s="3" t="s">
        <v>181</v>
      </c>
      <c r="D19" s="3" t="s">
        <v>182</v>
      </c>
      <c r="E19" s="15">
        <v>13.7</v>
      </c>
      <c r="F19" s="3">
        <v>5022</v>
      </c>
      <c r="G19" s="3">
        <v>13342</v>
      </c>
      <c r="H19" s="3">
        <v>1</v>
      </c>
      <c r="I19" s="3">
        <v>5</v>
      </c>
      <c r="J19" s="3"/>
      <c r="K19" s="3" t="s">
        <v>183</v>
      </c>
    </row>
    <row r="20" spans="1:11" ht="15.75" customHeight="1">
      <c r="A20" s="10" t="str">
        <f>HYPERLINK("https://www.alltrails.com/explore/trail/us/colorado/chasm-lake","Chasm Lake")</f>
        <v>Chasm Lake</v>
      </c>
      <c r="C20" s="3" t="s">
        <v>185</v>
      </c>
      <c r="D20" s="3" t="s">
        <v>94</v>
      </c>
      <c r="E20" s="11">
        <v>7.7</v>
      </c>
      <c r="F20" s="12">
        <v>2522</v>
      </c>
      <c r="G20" s="3">
        <v>11800</v>
      </c>
      <c r="H20" s="3">
        <v>1.75</v>
      </c>
      <c r="I20" s="3">
        <v>5</v>
      </c>
    </row>
    <row r="21" spans="1:11" ht="15.75" customHeight="1">
      <c r="A21" s="10" t="str">
        <f>HYPERLINK("https://www.alltrails.com/explore/trail/us/colorado/sky-pond-via-glacier-gorge-trail","Sky Pond Trail")</f>
        <v>Sky Pond Trail</v>
      </c>
      <c r="B21" s="3"/>
      <c r="C21" s="3" t="s">
        <v>185</v>
      </c>
      <c r="D21" s="3" t="s">
        <v>94</v>
      </c>
      <c r="E21" s="11">
        <v>8.1</v>
      </c>
      <c r="F21" s="12">
        <v>1765</v>
      </c>
      <c r="G21" s="12">
        <v>10880</v>
      </c>
      <c r="H21" s="3">
        <v>2</v>
      </c>
      <c r="I21" s="3">
        <v>5</v>
      </c>
    </row>
    <row r="22" spans="1:11" ht="15.75" customHeight="1">
      <c r="A22" s="10" t="str">
        <f>HYPERLINK("https://www.alltrails.com/trail/us/colorado/american-lakes-trail","American Lakes Trail")</f>
        <v>American Lakes Trail</v>
      </c>
      <c r="C22" s="3" t="s">
        <v>188</v>
      </c>
      <c r="D22" s="3" t="s">
        <v>189</v>
      </c>
      <c r="E22" s="11">
        <v>7</v>
      </c>
      <c r="F22" s="12">
        <v>1430</v>
      </c>
      <c r="G22" s="3">
        <v>11240</v>
      </c>
      <c r="H22" s="3">
        <v>3</v>
      </c>
      <c r="I22" s="3">
        <v>5</v>
      </c>
    </row>
    <row r="23" spans="1:11" ht="15.75" customHeight="1">
      <c r="A23" s="10" t="str">
        <f>HYPERLINK("https://www.alltrails.com/explore/trail/us/colorado/ironedge-trail-and-charles-lake-trail-loop","Mystic Island Lake and Lake Charles")</f>
        <v>Mystic Island Lake and Lake Charles</v>
      </c>
      <c r="B23" s="3" t="s">
        <v>66</v>
      </c>
      <c r="C23" s="3" t="s">
        <v>190</v>
      </c>
      <c r="D23" s="3" t="s">
        <v>191</v>
      </c>
      <c r="E23" s="11">
        <v>12.5</v>
      </c>
      <c r="F23" s="12">
        <v>2965</v>
      </c>
      <c r="G23" s="12">
        <v>11870</v>
      </c>
      <c r="H23" s="3">
        <v>3</v>
      </c>
      <c r="I23" s="3">
        <v>5</v>
      </c>
      <c r="J23" s="3"/>
      <c r="K23" s="3" t="s">
        <v>192</v>
      </c>
    </row>
    <row r="24" spans="1:11" ht="15.75" customHeight="1">
      <c r="A24" s="10" t="str">
        <f>HYPERLINK("https://www.alltrails.com/explore/trail/us/colorado/kelly-lake-trail","Kelly Lake Trail")</f>
        <v>Kelly Lake Trail</v>
      </c>
      <c r="B24" s="3"/>
      <c r="C24" s="3" t="s">
        <v>188</v>
      </c>
      <c r="D24" s="3" t="s">
        <v>189</v>
      </c>
      <c r="E24" s="11">
        <v>14.3</v>
      </c>
      <c r="F24" s="12">
        <v>2460</v>
      </c>
      <c r="G24" s="12">
        <v>10870</v>
      </c>
      <c r="H24" s="3">
        <v>3.5</v>
      </c>
      <c r="I24" s="3">
        <v>5</v>
      </c>
    </row>
    <row r="25" spans="1:11" ht="15.75" customHeight="1">
      <c r="A25" s="10" t="str">
        <f>HYPERLINK("https://www.alltrails.com/trail/us/colorado/bridal-veil-falls-to-blue-lake","Bridal Veil Falls to Blue Lake")</f>
        <v>Bridal Veil Falls to Blue Lake</v>
      </c>
      <c r="B25" s="3"/>
      <c r="C25" s="3" t="s">
        <v>195</v>
      </c>
      <c r="D25" s="3" t="s">
        <v>196</v>
      </c>
      <c r="E25" s="11">
        <v>5.7</v>
      </c>
      <c r="F25" s="12">
        <v>1843</v>
      </c>
      <c r="G25" s="3">
        <v>12220</v>
      </c>
      <c r="H25" s="3">
        <v>6.5</v>
      </c>
      <c r="I25" s="3">
        <v>5</v>
      </c>
      <c r="J25" s="3"/>
      <c r="K25" s="3" t="s">
        <v>197</v>
      </c>
    </row>
    <row r="26" spans="1:11" ht="15.75" customHeight="1">
      <c r="A26" s="10" t="str">
        <f>HYPERLINK("https://www.alltrails.com/explore/trail/us/colorado/ice-lake-basin-trail","Ice Lake Basin")</f>
        <v>Ice Lake Basin</v>
      </c>
      <c r="C26" s="3" t="s">
        <v>199</v>
      </c>
      <c r="D26" s="3" t="s">
        <v>200</v>
      </c>
      <c r="E26" s="11">
        <v>8.1</v>
      </c>
      <c r="F26" s="12">
        <v>3093</v>
      </c>
      <c r="G26" s="3">
        <v>12590</v>
      </c>
      <c r="H26" s="3">
        <v>6.5</v>
      </c>
      <c r="I26" s="3">
        <v>5</v>
      </c>
    </row>
    <row r="27" spans="1:11" ht="15.75" customHeight="1">
      <c r="A27" s="10" t="str">
        <f>HYPERLINK("https://www.alltrails.com/trail/us/colorado/via-ferrata?ref=search","Via Ferrata")</f>
        <v>Via Ferrata</v>
      </c>
      <c r="C27" s="3" t="s">
        <v>201</v>
      </c>
      <c r="D27" s="3" t="s">
        <v>200</v>
      </c>
      <c r="E27" s="15">
        <v>3</v>
      </c>
      <c r="F27" s="3">
        <v>1243</v>
      </c>
      <c r="G27" s="3">
        <v>10125</v>
      </c>
      <c r="H27" s="3">
        <v>6.5</v>
      </c>
      <c r="I27" s="3">
        <v>5</v>
      </c>
      <c r="K27" s="3" t="s">
        <v>202</v>
      </c>
    </row>
    <row r="28" spans="1:11" ht="15.75" customHeight="1">
      <c r="A28" s="10" t="str">
        <f>HYPERLINK("https://www.alltrails.com/explore/trail/us/colorado/lake-helene-trail","Lake Helene Trail")</f>
        <v>Lake Helene Trail</v>
      </c>
      <c r="C28" s="3" t="s">
        <v>185</v>
      </c>
      <c r="D28" s="3" t="s">
        <v>94</v>
      </c>
      <c r="E28" s="17">
        <v>6</v>
      </c>
      <c r="F28" s="15" t="s">
        <v>205</v>
      </c>
      <c r="G28" s="3">
        <v>10670</v>
      </c>
      <c r="H28" s="3">
        <v>2</v>
      </c>
      <c r="I28" s="3">
        <v>3</v>
      </c>
    </row>
    <row r="29" spans="1:11" ht="15.75" customHeight="1">
      <c r="A29" s="10" t="str">
        <f>HYPERLINK("https://www.alltrails.com/trail/us/colorado/tyndall-glacier-and-nymph-dream-emerald-and-haiyaha-lakes/photos","Nymph, Dream, Hiayaha &amp; Emerald Lakes")</f>
        <v>Nymph, Dream, Hiayaha &amp; Emerald Lakes</v>
      </c>
      <c r="B29" s="3"/>
      <c r="C29" s="3" t="s">
        <v>185</v>
      </c>
      <c r="D29" s="3" t="s">
        <v>94</v>
      </c>
      <c r="E29" s="11">
        <v>6.3</v>
      </c>
      <c r="F29" s="12">
        <v>1151</v>
      </c>
      <c r="G29" s="12">
        <v>10230</v>
      </c>
      <c r="H29" s="3">
        <v>2</v>
      </c>
      <c r="I29" s="3">
        <v>3</v>
      </c>
      <c r="J29" s="3"/>
      <c r="K29" s="3" t="s">
        <v>208</v>
      </c>
    </row>
    <row r="30" spans="1:11" ht="15.75" customHeight="1">
      <c r="A30" s="10" t="str">
        <f>HYPERLINK("https://www.alltrails.com/explore/trail/us/colorado/independence-mountain-trail-at-pence-park","Independence Mountain Trail")</f>
        <v>Independence Mountain Trail</v>
      </c>
      <c r="B30" s="3"/>
      <c r="C30" s="3" t="s">
        <v>19</v>
      </c>
      <c r="D30" s="3" t="s">
        <v>210</v>
      </c>
      <c r="E30" s="11">
        <v>2.2999999999999998</v>
      </c>
      <c r="F30" s="12">
        <v>761</v>
      </c>
      <c r="G30" s="12">
        <v>8230</v>
      </c>
      <c r="H30" s="3">
        <v>0.75</v>
      </c>
      <c r="I30" s="3">
        <v>3</v>
      </c>
      <c r="J30" s="3" t="s">
        <v>66</v>
      </c>
      <c r="K30" s="3" t="s">
        <v>166</v>
      </c>
    </row>
    <row r="31" spans="1:11" ht="15.75" customHeight="1">
      <c r="A31" s="10" t="str">
        <f>HYPERLINK("https://www.alltrails.com/explore/trail/us/colorado/south-park-600-to-square-top-lakes","South Park 600 to Square Top Lakes")</f>
        <v>South Park 600 to Square Top Lakes</v>
      </c>
      <c r="C31" s="3" t="s">
        <v>211</v>
      </c>
      <c r="D31" s="3" t="s">
        <v>125</v>
      </c>
      <c r="E31" s="15">
        <v>4.0999999999999996</v>
      </c>
      <c r="F31" s="15">
        <v>921</v>
      </c>
      <c r="G31" s="3">
        <v>12290</v>
      </c>
      <c r="H31" s="3">
        <v>1.5</v>
      </c>
      <c r="I31" s="3">
        <v>3</v>
      </c>
      <c r="J31" s="3"/>
      <c r="K31" s="3" t="s">
        <v>212</v>
      </c>
    </row>
    <row r="32" spans="1:11" ht="13.2">
      <c r="A32" s="10" t="str">
        <f>HYPERLINK("https://www.alltrails.com/explore/trail/us/colorado/gem-trail-to-balanced-rock","Gem Lake to Balanced Rock")</f>
        <v>Gem Lake to Balanced Rock</v>
      </c>
      <c r="C32" s="3" t="s">
        <v>213</v>
      </c>
      <c r="D32" s="3" t="s">
        <v>94</v>
      </c>
      <c r="E32" s="11">
        <v>7</v>
      </c>
      <c r="F32" s="12">
        <v>1696</v>
      </c>
      <c r="G32" s="12">
        <v>8850</v>
      </c>
      <c r="H32" s="3">
        <v>1.5</v>
      </c>
      <c r="I32" s="3">
        <v>5</v>
      </c>
    </row>
    <row r="33" spans="1:11" ht="13.2">
      <c r="A33" s="10" t="str">
        <f>HYPERLINK("https://www.alltrails.com/explore/trail/us/colorado/crystal-creek-reservoir-trail","Crystal Creek Reservoir Trail")</f>
        <v>Crystal Creek Reservoir Trail</v>
      </c>
      <c r="C33" s="3" t="s">
        <v>216</v>
      </c>
      <c r="D33" s="3" t="s">
        <v>175</v>
      </c>
      <c r="E33" s="15">
        <v>3.2</v>
      </c>
      <c r="F33" s="15">
        <v>1528</v>
      </c>
      <c r="G33" s="3">
        <v>9230</v>
      </c>
      <c r="H33" s="3">
        <v>1.5</v>
      </c>
      <c r="I33" s="3">
        <v>3</v>
      </c>
      <c r="J33" s="3"/>
      <c r="K33" s="3" t="s">
        <v>217</v>
      </c>
    </row>
    <row r="34" spans="1:11" ht="13.2">
      <c r="A34" s="10" t="str">
        <f>HYPERLINK("https://www.alltrails.com/explore/trail/us/colorado/mount-flora-trail","Mount Flora Trail")</f>
        <v>Mount Flora Trail</v>
      </c>
      <c r="C34" s="3" t="s">
        <v>21</v>
      </c>
      <c r="D34" s="3" t="s">
        <v>125</v>
      </c>
      <c r="E34" s="17">
        <v>6</v>
      </c>
      <c r="F34" s="15">
        <v>1765</v>
      </c>
      <c r="G34" s="3">
        <v>13150</v>
      </c>
      <c r="H34" s="3">
        <v>1.25</v>
      </c>
      <c r="I34" s="3">
        <v>5</v>
      </c>
    </row>
    <row r="35" spans="1:11" ht="13.2">
      <c r="A35" s="10" t="str">
        <f>HYPERLINK("https://www.alltrails.com/trail/us/colorado/devils-causewayskinny-fish-and-trappers-lake-loop","Devil's Causeway")</f>
        <v>Devil's Causeway</v>
      </c>
      <c r="B35" s="3" t="s">
        <v>66</v>
      </c>
      <c r="C35" s="3" t="s">
        <v>220</v>
      </c>
      <c r="D35" s="3" t="s">
        <v>221</v>
      </c>
      <c r="E35" s="15">
        <v>30.6</v>
      </c>
      <c r="F35" s="3">
        <v>5603</v>
      </c>
      <c r="G35" s="3">
        <v>11580</v>
      </c>
      <c r="H35" s="3">
        <v>3.5</v>
      </c>
      <c r="I35" s="3">
        <v>4</v>
      </c>
      <c r="J35" s="3"/>
      <c r="K35" s="3" t="s">
        <v>222</v>
      </c>
    </row>
    <row r="36" spans="1:11" ht="13.2">
      <c r="A36" s="10" t="str">
        <f>HYPERLINK("https://www.alltrails.com/explore/trail/us/colorado/cathedral-lake-to-electric-pass-trail","Cathedral Lake to Electric Pass Trail")</f>
        <v>Cathedral Lake to Electric Pass Trail</v>
      </c>
      <c r="C36" s="3" t="s">
        <v>8</v>
      </c>
      <c r="D36" s="3" t="s">
        <v>133</v>
      </c>
      <c r="E36" s="11">
        <v>9.1999999999999993</v>
      </c>
      <c r="F36" s="12">
        <v>3740</v>
      </c>
      <c r="G36" s="3">
        <v>13620</v>
      </c>
      <c r="H36" s="3">
        <v>4</v>
      </c>
      <c r="I36" s="3">
        <v>4</v>
      </c>
    </row>
    <row r="37" spans="1:11" ht="13.2">
      <c r="A37" s="10" t="str">
        <f>HYPERLINK("https://www.alltrails.com/trail/us/colorado/devils-canyon/photos","Devils Canyon Loop")</f>
        <v>Devils Canyon Loop</v>
      </c>
      <c r="B37" s="3"/>
      <c r="C37" s="3" t="s">
        <v>223</v>
      </c>
      <c r="D37" s="3" t="s">
        <v>224</v>
      </c>
      <c r="E37" s="11">
        <v>6.6</v>
      </c>
      <c r="F37" s="12">
        <v>780</v>
      </c>
      <c r="G37" s="12">
        <v>5230</v>
      </c>
      <c r="H37" s="3">
        <v>4.25</v>
      </c>
      <c r="I37" s="3">
        <v>4</v>
      </c>
      <c r="J37" s="3"/>
      <c r="K37" s="3" t="s">
        <v>225</v>
      </c>
    </row>
    <row r="38" spans="1:11" ht="13.2">
      <c r="A38" s="10" t="str">
        <f>HYPERLINK("https://www.alltrails.com/explore/trail/us/colorado/kingston-peak","Kingston Peak")</f>
        <v>Kingston Peak</v>
      </c>
      <c r="B38" s="3"/>
      <c r="C38" s="3" t="s">
        <v>21</v>
      </c>
      <c r="D38" s="3" t="s">
        <v>125</v>
      </c>
      <c r="E38" s="11">
        <v>6</v>
      </c>
      <c r="F38" s="12">
        <v>1656</v>
      </c>
      <c r="G38" s="12">
        <v>12135</v>
      </c>
      <c r="H38" s="3">
        <v>1.5</v>
      </c>
      <c r="I38" s="3">
        <v>5</v>
      </c>
      <c r="J38" s="3"/>
      <c r="K38" s="3" t="s">
        <v>226</v>
      </c>
    </row>
    <row r="39" spans="1:11" ht="13.2">
      <c r="A39" s="10" t="str">
        <f>HYPERLINK("https://www.alltrails.com/explore/trail/us/colorado/hells-hole-trail","Hells Hole")</f>
        <v>Hells Hole</v>
      </c>
      <c r="C39" s="3" t="s">
        <v>21</v>
      </c>
      <c r="D39" s="3" t="s">
        <v>125</v>
      </c>
      <c r="E39" s="11">
        <v>7.9</v>
      </c>
      <c r="F39" s="12">
        <v>1912</v>
      </c>
      <c r="G39" s="3">
        <v>11520</v>
      </c>
      <c r="H39" s="3">
        <v>1.25</v>
      </c>
      <c r="I39" s="3">
        <v>3</v>
      </c>
      <c r="J39" s="3"/>
      <c r="K39" s="3" t="s">
        <v>227</v>
      </c>
    </row>
    <row r="40" spans="1:11" ht="13.2">
      <c r="A40" s="10" t="str">
        <f>HYPERLINK("https://www.alltrails.com/explore/trail/us/colorado/herman-gulch-trail","Herman Gulch")</f>
        <v>Herman Gulch</v>
      </c>
      <c r="B40" s="3"/>
      <c r="C40" s="3" t="s">
        <v>21</v>
      </c>
      <c r="D40" s="3" t="s">
        <v>125</v>
      </c>
      <c r="E40" s="11">
        <v>6.3</v>
      </c>
      <c r="F40" s="12">
        <v>1755</v>
      </c>
      <c r="G40" s="12">
        <v>12020</v>
      </c>
      <c r="H40" s="3">
        <v>1.25</v>
      </c>
      <c r="I40" s="3">
        <v>3</v>
      </c>
    </row>
    <row r="41" spans="1:11" ht="13.2">
      <c r="A41" s="10" t="str">
        <f>HYPERLINK("https://www.alltrails.com/explore/trail/us/colorado/loch-lomond","Loch Lomond ")</f>
        <v xml:space="preserve">Loch Lomond </v>
      </c>
      <c r="B41" s="3"/>
      <c r="C41" s="3" t="s">
        <v>21</v>
      </c>
      <c r="D41" s="3" t="s">
        <v>125</v>
      </c>
      <c r="E41" s="11">
        <v>4.5999999999999996</v>
      </c>
      <c r="F41" s="12">
        <v>895</v>
      </c>
      <c r="G41" s="12">
        <v>11220</v>
      </c>
      <c r="H41" s="3">
        <v>1.25</v>
      </c>
      <c r="I41" s="3">
        <v>3</v>
      </c>
      <c r="J41" s="3"/>
      <c r="K41" s="3" t="s">
        <v>208</v>
      </c>
    </row>
    <row r="42" spans="1:11" ht="13.2">
      <c r="A42" s="10" t="str">
        <f>HYPERLINK("https://www.alltrails.com/trail/us/colorado/stanley-mountain-trail/photos","Stanley Mountain")</f>
        <v>Stanley Mountain</v>
      </c>
      <c r="C42" s="3" t="s">
        <v>21</v>
      </c>
      <c r="D42" s="3" t="s">
        <v>125</v>
      </c>
      <c r="E42" s="17">
        <v>7.4</v>
      </c>
      <c r="F42" s="15">
        <v>1788</v>
      </c>
      <c r="G42" s="3">
        <v>12490</v>
      </c>
      <c r="H42" s="3">
        <v>1.25</v>
      </c>
      <c r="I42" s="3">
        <v>3</v>
      </c>
    </row>
    <row r="43" spans="1:11" ht="13.2">
      <c r="A43" s="10" t="str">
        <f>HYPERLINK("https://www.alltrails.com/explore/trail/us/colorado/bison-peak-summit-trail","Bison Peak")</f>
        <v>Bison Peak</v>
      </c>
      <c r="C43" s="3" t="s">
        <v>228</v>
      </c>
      <c r="D43" s="3" t="s">
        <v>175</v>
      </c>
      <c r="E43" s="15">
        <v>12</v>
      </c>
      <c r="F43" s="3">
        <v>3982</v>
      </c>
      <c r="G43" s="3">
        <v>12396</v>
      </c>
      <c r="H43" s="3">
        <v>1.75</v>
      </c>
      <c r="I43" s="3">
        <v>5</v>
      </c>
    </row>
    <row r="44" spans="1:11" ht="13.2">
      <c r="A44" s="10" t="str">
        <f>HYPERLINK("https://www.alltrails.com/trail/us/colorado/shelf-lake-trail","Shelf Lake Trail ")</f>
        <v xml:space="preserve">Shelf Lake Trail </v>
      </c>
      <c r="C44" s="3" t="s">
        <v>22</v>
      </c>
      <c r="D44" s="3" t="s">
        <v>229</v>
      </c>
      <c r="E44" s="17">
        <v>6.8</v>
      </c>
      <c r="F44" s="15" t="s">
        <v>230</v>
      </c>
      <c r="G44" s="3">
        <v>12170</v>
      </c>
      <c r="H44" s="3">
        <v>1.75</v>
      </c>
      <c r="I44" s="3">
        <v>4</v>
      </c>
    </row>
    <row r="45" spans="1:11" ht="13.2">
      <c r="A45" s="10" t="str">
        <f>HYPERLINK("https://www.alltrails.com/explore/trail/us/colorado/crater-lakes-trail","Crater Lakes Via Moffat Tunnel")</f>
        <v>Crater Lakes Via Moffat Tunnel</v>
      </c>
      <c r="C45" s="3" t="s">
        <v>24</v>
      </c>
      <c r="D45" s="3" t="s">
        <v>231</v>
      </c>
      <c r="E45" s="17">
        <v>6.5</v>
      </c>
      <c r="F45" s="15" t="s">
        <v>232</v>
      </c>
      <c r="G45" s="3">
        <v>11010</v>
      </c>
      <c r="H45" s="3">
        <v>1.5</v>
      </c>
      <c r="I45" s="3">
        <v>4</v>
      </c>
    </row>
    <row r="46" spans="1:11" ht="13.2">
      <c r="A46" s="19" t="str">
        <f>HYPERLINK("https://www.alltrails.com/explore/trail/us/colorado/woodland-trail-to-skyscraper-reservoir","Woodland Trail to Skyscraper Reservoir")</f>
        <v>Woodland Trail to Skyscraper Reservoir</v>
      </c>
      <c r="C46" s="3" t="s">
        <v>24</v>
      </c>
      <c r="D46" s="3" t="s">
        <v>231</v>
      </c>
      <c r="E46" s="17">
        <v>10.199999999999999</v>
      </c>
      <c r="F46" s="15" t="s">
        <v>233</v>
      </c>
      <c r="G46" s="3">
        <v>11230</v>
      </c>
      <c r="H46" s="3">
        <v>1.5</v>
      </c>
      <c r="I46" s="3">
        <v>4</v>
      </c>
      <c r="J46" s="3"/>
      <c r="K46" s="3" t="s">
        <v>180</v>
      </c>
    </row>
    <row r="47" spans="1:11" ht="13.2">
      <c r="A47" s="10" t="str">
        <f>HYPERLINK("https://www.alltrails.com/explore/trail/us/colorado/king-lake-trail","King Lake Trail")</f>
        <v>King Lake Trail</v>
      </c>
      <c r="C47" s="3" t="s">
        <v>24</v>
      </c>
      <c r="D47" s="3" t="s">
        <v>234</v>
      </c>
      <c r="E47" s="11">
        <v>12.2</v>
      </c>
      <c r="F47" s="12">
        <v>2539</v>
      </c>
      <c r="G47" s="3">
        <v>11500</v>
      </c>
      <c r="H47" s="3">
        <v>1.5</v>
      </c>
      <c r="I47" s="3">
        <v>3</v>
      </c>
    </row>
    <row r="48" spans="1:11" ht="13.2">
      <c r="A48" s="10" t="str">
        <f>HYPERLINK("https://www.alltrails.com/explore/trail/us/colorado/forest-lakes-trail","Forest Lakes Trail")</f>
        <v>Forest Lakes Trail</v>
      </c>
      <c r="B48" s="3"/>
      <c r="C48" s="3" t="s">
        <v>235</v>
      </c>
      <c r="D48" s="3" t="s">
        <v>182</v>
      </c>
      <c r="E48" s="11">
        <v>6.8</v>
      </c>
      <c r="F48" s="12">
        <v>1541</v>
      </c>
      <c r="G48" s="12">
        <v>10690</v>
      </c>
      <c r="H48" s="3">
        <v>1.5</v>
      </c>
      <c r="I48" s="3">
        <v>3</v>
      </c>
    </row>
    <row r="49" spans="1:11" ht="13.2">
      <c r="A49" s="10" t="str">
        <f>HYPERLINK("https://www.alltrails.com/trail/us/colorado/elk-falls-trail/photos","Elk Falls Trail")</f>
        <v>Elk Falls Trail</v>
      </c>
      <c r="C49" s="3" t="s">
        <v>236</v>
      </c>
      <c r="D49" s="3" t="s">
        <v>237</v>
      </c>
      <c r="E49" s="11">
        <v>10.3</v>
      </c>
      <c r="F49" s="12">
        <v>1463</v>
      </c>
      <c r="G49" s="3">
        <v>9120</v>
      </c>
      <c r="H49" s="3">
        <v>1</v>
      </c>
      <c r="I49" s="3">
        <v>3</v>
      </c>
    </row>
    <row r="50" spans="1:11" ht="13.2">
      <c r="A50" s="10" t="str">
        <f>HYPERLINK("https://www.alltrails.com/explore/trail/us/colorado/deluge-lake-trail","Deluge Lake")</f>
        <v>Deluge Lake</v>
      </c>
      <c r="B50" s="3" t="s">
        <v>66</v>
      </c>
      <c r="C50" s="3" t="s">
        <v>26</v>
      </c>
      <c r="D50" s="3" t="s">
        <v>133</v>
      </c>
      <c r="E50" s="11">
        <v>9</v>
      </c>
      <c r="F50" s="12">
        <v>3444</v>
      </c>
      <c r="G50" s="12">
        <v>11750</v>
      </c>
      <c r="H50" s="3">
        <v>2</v>
      </c>
      <c r="I50" s="3">
        <v>4</v>
      </c>
    </row>
    <row r="51" spans="1:11" ht="13.2">
      <c r="A51" s="10" t="str">
        <f>HYPERLINK("https://www.alltrails.com/explore/trail/us/colorado/odessa-lake-via-fern-lake-trail","Odessa Lake via Fern Lake Trail")</f>
        <v>Odessa Lake via Fern Lake Trail</v>
      </c>
      <c r="C51" s="3" t="s">
        <v>185</v>
      </c>
      <c r="D51" s="3" t="s">
        <v>94</v>
      </c>
      <c r="E51" s="11">
        <v>8.3000000000000007</v>
      </c>
      <c r="F51" s="12">
        <v>2004</v>
      </c>
      <c r="G51" s="3">
        <v>10690</v>
      </c>
      <c r="H51" s="3">
        <v>2.25</v>
      </c>
      <c r="I51" s="3">
        <v>3</v>
      </c>
    </row>
    <row r="52" spans="1:11" ht="13.2">
      <c r="A52" s="10" t="str">
        <f>HYPERLINK("https://www.alltrails.com/explore/trail/us/colorado/crag-crest-trail","Crag Crest Trail")</f>
        <v>Crag Crest Trail</v>
      </c>
      <c r="B52" s="3"/>
      <c r="C52" s="3" t="s">
        <v>238</v>
      </c>
      <c r="D52" s="3" t="s">
        <v>105</v>
      </c>
      <c r="E52" s="11">
        <v>10.8</v>
      </c>
      <c r="F52" s="12">
        <v>1568</v>
      </c>
      <c r="G52" s="12">
        <v>11190</v>
      </c>
      <c r="H52" s="3">
        <v>4.5</v>
      </c>
      <c r="I52" s="3">
        <v>3</v>
      </c>
    </row>
    <row r="53" spans="1:11" ht="13.2">
      <c r="A53" s="10" t="str">
        <f>HYPERLINK("https://www.alltrails.com/explore/trail/us/colorado/judd-falls-via-copper-creek-trail","Judd Falls")</f>
        <v>Judd Falls</v>
      </c>
      <c r="B53" s="3"/>
      <c r="C53" s="3" t="s">
        <v>239</v>
      </c>
      <c r="D53" s="3" t="s">
        <v>240</v>
      </c>
      <c r="E53" s="11">
        <v>2.2000000000000002</v>
      </c>
      <c r="F53" s="12">
        <v>551</v>
      </c>
      <c r="G53" s="12">
        <v>9890</v>
      </c>
      <c r="H53" s="3">
        <v>4.75</v>
      </c>
      <c r="I53" s="3">
        <v>3</v>
      </c>
      <c r="J53" s="3"/>
      <c r="K53" s="3" t="s">
        <v>208</v>
      </c>
    </row>
    <row r="54" spans="1:11" ht="13.2">
      <c r="A54" s="10" t="str">
        <f>HYPERLINK("https://www.alltrails.com/trail/us/colorado/blue-lakes-trail?ref=search","Blue Lakes")</f>
        <v>Blue Lakes</v>
      </c>
      <c r="C54" s="3" t="s">
        <v>241</v>
      </c>
      <c r="D54" s="3" t="s">
        <v>242</v>
      </c>
      <c r="E54" s="11">
        <v>7.9</v>
      </c>
      <c r="F54" s="12">
        <v>2519</v>
      </c>
      <c r="G54" s="3">
        <v>11760</v>
      </c>
      <c r="H54" s="3">
        <v>6</v>
      </c>
      <c r="I54" s="3">
        <v>3</v>
      </c>
    </row>
    <row r="55" spans="1:11" ht="13.2">
      <c r="A55" s="10" t="str">
        <f>HYPERLINK("http://hikingwalking.com/index.php/destinations/co/co_sw/telluride/lizardhead/lizardhead_detail","Lizard Head Peak")</f>
        <v>Lizard Head Peak</v>
      </c>
      <c r="C55" s="3" t="s">
        <v>244</v>
      </c>
      <c r="D55" s="3" t="s">
        <v>196</v>
      </c>
      <c r="E55" s="15">
        <v>15.8</v>
      </c>
      <c r="F55" s="3">
        <v>5718</v>
      </c>
      <c r="G55" s="3">
        <v>12100</v>
      </c>
      <c r="H55" s="3">
        <v>6.5</v>
      </c>
      <c r="I55" s="3">
        <v>3</v>
      </c>
      <c r="J55" s="3"/>
      <c r="K55" s="3" t="s">
        <v>245</v>
      </c>
    </row>
    <row r="56" spans="1:11" ht="13.2">
      <c r="A56" s="19" t="str">
        <f>HYPERLINK("https://www.alltrails.com/explore/trail/us/colorado/second-creek-trail-to-twin-cones","Second Creek Trail to Twin Cones")</f>
        <v>Second Creek Trail to Twin Cones</v>
      </c>
      <c r="C56" s="3" t="s">
        <v>27</v>
      </c>
      <c r="D56" s="3" t="s">
        <v>125</v>
      </c>
      <c r="E56" s="17">
        <v>4.5999999999999996</v>
      </c>
      <c r="F56" s="15">
        <v>1466</v>
      </c>
      <c r="G56" s="3">
        <v>12050</v>
      </c>
      <c r="H56" s="3">
        <v>1.25</v>
      </c>
      <c r="I56" s="3">
        <v>2</v>
      </c>
    </row>
    <row r="57" spans="1:11" ht="13.2">
      <c r="A57" s="10" t="str">
        <f>HYPERLINK("https://www.alltrails.com/explore/trail/us/colorado/sharkstooth-pass-trail","Sharkstooth Trail")</f>
        <v>Sharkstooth Trail</v>
      </c>
      <c r="C57" s="3" t="s">
        <v>251</v>
      </c>
      <c r="D57" s="3" t="s">
        <v>200</v>
      </c>
      <c r="E57" s="15">
        <v>2.9</v>
      </c>
      <c r="F57" s="3">
        <v>1043</v>
      </c>
      <c r="G57" s="3">
        <v>11950</v>
      </c>
      <c r="H57" s="3">
        <v>7.5</v>
      </c>
      <c r="I57" s="3">
        <v>2</v>
      </c>
      <c r="J57" s="3"/>
      <c r="K57" s="3" t="s">
        <v>252</v>
      </c>
    </row>
    <row r="58" spans="1:11" ht="13.2">
      <c r="A58" s="3" t="s">
        <v>253</v>
      </c>
      <c r="C58" s="3" t="s">
        <v>101</v>
      </c>
      <c r="D58" s="3" t="s">
        <v>254</v>
      </c>
      <c r="E58" s="15">
        <v>0.9</v>
      </c>
      <c r="F58" s="3">
        <v>213</v>
      </c>
      <c r="G58" s="3">
        <v>9340</v>
      </c>
      <c r="H58" s="3">
        <v>4</v>
      </c>
      <c r="I58" s="3">
        <v>4</v>
      </c>
      <c r="K58" s="3" t="s">
        <v>252</v>
      </c>
    </row>
    <row r="59" spans="1:11" ht="13.2">
      <c r="E59" s="15"/>
    </row>
    <row r="60" spans="1:11" ht="13.2">
      <c r="E60" s="15"/>
    </row>
    <row r="61" spans="1:11" ht="13.2">
      <c r="E61" s="15"/>
    </row>
    <row r="62" spans="1:11" ht="13.2">
      <c r="E62" s="15"/>
    </row>
    <row r="63" spans="1:11" ht="13.2">
      <c r="E63" s="15"/>
    </row>
    <row r="64" spans="1:11" ht="13.2">
      <c r="E64" s="15"/>
    </row>
    <row r="65" spans="5:5" ht="13.2">
      <c r="E65" s="15"/>
    </row>
    <row r="66" spans="5:5" ht="13.2">
      <c r="E66" s="15"/>
    </row>
    <row r="67" spans="5:5" ht="13.2">
      <c r="E67" s="15"/>
    </row>
    <row r="68" spans="5:5" ht="13.2">
      <c r="E68" s="15"/>
    </row>
    <row r="69" spans="5:5" ht="13.2">
      <c r="E69" s="15"/>
    </row>
    <row r="70" spans="5:5" ht="13.2">
      <c r="E70" s="15"/>
    </row>
    <row r="71" spans="5:5" ht="13.2">
      <c r="E71" s="15"/>
    </row>
    <row r="72" spans="5:5" ht="13.2">
      <c r="E72" s="15"/>
    </row>
    <row r="73" spans="5:5" ht="13.2">
      <c r="E73" s="15"/>
    </row>
    <row r="74" spans="5:5" ht="13.2">
      <c r="E74" s="15"/>
    </row>
    <row r="75" spans="5:5" ht="13.2">
      <c r="E75" s="15"/>
    </row>
    <row r="76" spans="5:5" ht="13.2">
      <c r="E76" s="15"/>
    </row>
    <row r="77" spans="5:5" ht="13.2">
      <c r="E77" s="15"/>
    </row>
    <row r="78" spans="5:5" ht="13.2">
      <c r="E78" s="15"/>
    </row>
    <row r="79" spans="5:5" ht="13.2">
      <c r="E79" s="15"/>
    </row>
    <row r="80" spans="5:5" ht="13.2">
      <c r="E80" s="15"/>
    </row>
    <row r="81" spans="5:5" ht="13.2">
      <c r="E81" s="15"/>
    </row>
    <row r="82" spans="5:5" ht="13.2">
      <c r="E82" s="15"/>
    </row>
    <row r="83" spans="5:5" ht="13.2">
      <c r="E83" s="15"/>
    </row>
    <row r="84" spans="5:5" ht="13.2">
      <c r="E84" s="15"/>
    </row>
    <row r="85" spans="5:5" ht="13.2">
      <c r="E85" s="15"/>
    </row>
    <row r="86" spans="5:5" ht="13.2">
      <c r="E86" s="15"/>
    </row>
    <row r="87" spans="5:5" ht="13.2">
      <c r="E87" s="15"/>
    </row>
    <row r="88" spans="5:5" ht="13.2">
      <c r="E88" s="15"/>
    </row>
    <row r="89" spans="5:5" ht="13.2">
      <c r="E89" s="15"/>
    </row>
    <row r="90" spans="5:5" ht="13.2">
      <c r="E90" s="15"/>
    </row>
    <row r="91" spans="5:5" ht="13.2">
      <c r="E91" s="15"/>
    </row>
    <row r="92" spans="5:5" ht="13.2">
      <c r="E92" s="15"/>
    </row>
    <row r="93" spans="5:5" ht="13.2">
      <c r="E93" s="15"/>
    </row>
    <row r="94" spans="5:5" ht="13.2">
      <c r="E94" s="15"/>
    </row>
    <row r="95" spans="5:5" ht="13.2">
      <c r="E95" s="15"/>
    </row>
    <row r="96" spans="5:5" ht="13.2">
      <c r="E96" s="15"/>
    </row>
    <row r="97" spans="5:5" ht="13.2">
      <c r="E97" s="15"/>
    </row>
    <row r="98" spans="5:5" ht="13.2">
      <c r="E98" s="15"/>
    </row>
    <row r="99" spans="5:5" ht="13.2">
      <c r="E99" s="15"/>
    </row>
    <row r="100" spans="5:5" ht="13.2">
      <c r="E100" s="15"/>
    </row>
    <row r="101" spans="5:5" ht="13.2">
      <c r="E101" s="15"/>
    </row>
    <row r="102" spans="5:5" ht="13.2">
      <c r="E102" s="15"/>
    </row>
    <row r="103" spans="5:5" ht="13.2">
      <c r="E103" s="15"/>
    </row>
    <row r="104" spans="5:5" ht="13.2">
      <c r="E104" s="15"/>
    </row>
    <row r="105" spans="5:5" ht="13.2">
      <c r="E105" s="15"/>
    </row>
    <row r="106" spans="5:5" ht="13.2">
      <c r="E106" s="15"/>
    </row>
    <row r="107" spans="5:5" ht="13.2">
      <c r="E107" s="15"/>
    </row>
    <row r="108" spans="5:5" ht="13.2">
      <c r="E108" s="15"/>
    </row>
    <row r="109" spans="5:5" ht="13.2">
      <c r="E109" s="15"/>
    </row>
    <row r="110" spans="5:5" ht="13.2">
      <c r="E110" s="15"/>
    </row>
    <row r="111" spans="5:5" ht="13.2">
      <c r="E111" s="15"/>
    </row>
    <row r="112" spans="5:5" ht="13.2">
      <c r="E112" s="15"/>
    </row>
    <row r="113" spans="5:5" ht="13.2">
      <c r="E113" s="15"/>
    </row>
    <row r="114" spans="5:5" ht="13.2">
      <c r="E114" s="15"/>
    </row>
    <row r="115" spans="5:5" ht="13.2">
      <c r="E115" s="15"/>
    </row>
    <row r="116" spans="5:5" ht="13.2">
      <c r="E116" s="15"/>
    </row>
    <row r="117" spans="5:5" ht="13.2">
      <c r="E117" s="15"/>
    </row>
    <row r="118" spans="5:5" ht="13.2">
      <c r="E118" s="15"/>
    </row>
    <row r="119" spans="5:5" ht="13.2">
      <c r="E119" s="15"/>
    </row>
    <row r="120" spans="5:5" ht="13.2">
      <c r="E120" s="15"/>
    </row>
    <row r="121" spans="5:5" ht="13.2">
      <c r="E121" s="15"/>
    </row>
    <row r="122" spans="5:5" ht="13.2">
      <c r="E122" s="15"/>
    </row>
    <row r="123" spans="5:5" ht="13.2">
      <c r="E123" s="15"/>
    </row>
    <row r="124" spans="5:5" ht="13.2">
      <c r="E124" s="15"/>
    </row>
    <row r="125" spans="5:5" ht="13.2">
      <c r="E125" s="15"/>
    </row>
    <row r="126" spans="5:5" ht="13.2">
      <c r="E126" s="15"/>
    </row>
    <row r="127" spans="5:5" ht="13.2">
      <c r="E127" s="15"/>
    </row>
    <row r="128" spans="5:5" ht="13.2">
      <c r="E128" s="15"/>
    </row>
    <row r="129" spans="5:5" ht="13.2">
      <c r="E129" s="15"/>
    </row>
    <row r="130" spans="5:5" ht="13.2">
      <c r="E130" s="15"/>
    </row>
    <row r="131" spans="5:5" ht="13.2">
      <c r="E131" s="15"/>
    </row>
    <row r="132" spans="5:5" ht="13.2">
      <c r="E132" s="15"/>
    </row>
    <row r="133" spans="5:5" ht="13.2">
      <c r="E133" s="15"/>
    </row>
    <row r="134" spans="5:5" ht="13.2">
      <c r="E134" s="15"/>
    </row>
    <row r="135" spans="5:5" ht="13.2">
      <c r="E135" s="15"/>
    </row>
    <row r="136" spans="5:5" ht="13.2">
      <c r="E136" s="15"/>
    </row>
    <row r="137" spans="5:5" ht="13.2">
      <c r="E137" s="15"/>
    </row>
    <row r="138" spans="5:5" ht="13.2">
      <c r="E138" s="15"/>
    </row>
    <row r="139" spans="5:5" ht="13.2">
      <c r="E139" s="15"/>
    </row>
    <row r="140" spans="5:5" ht="13.2">
      <c r="E140" s="15"/>
    </row>
    <row r="141" spans="5:5" ht="13.2">
      <c r="E141" s="15"/>
    </row>
    <row r="142" spans="5:5" ht="13.2">
      <c r="E142" s="15"/>
    </row>
    <row r="143" spans="5:5" ht="13.2">
      <c r="E143" s="15"/>
    </row>
    <row r="144" spans="5:5" ht="13.2">
      <c r="E144" s="15"/>
    </row>
    <row r="145" spans="5:5" ht="13.2">
      <c r="E145" s="15"/>
    </row>
    <row r="146" spans="5:5" ht="13.2">
      <c r="E146" s="15"/>
    </row>
    <row r="147" spans="5:5" ht="13.2">
      <c r="E147" s="15"/>
    </row>
    <row r="148" spans="5:5" ht="13.2">
      <c r="E148" s="15"/>
    </row>
    <row r="149" spans="5:5" ht="13.2">
      <c r="E149" s="15"/>
    </row>
    <row r="150" spans="5:5" ht="13.2">
      <c r="E150" s="15"/>
    </row>
    <row r="151" spans="5:5" ht="13.2">
      <c r="E151" s="15"/>
    </row>
    <row r="152" spans="5:5" ht="13.2">
      <c r="E152" s="15"/>
    </row>
    <row r="153" spans="5:5" ht="13.2">
      <c r="E153" s="15"/>
    </row>
    <row r="154" spans="5:5" ht="13.2">
      <c r="E154" s="15"/>
    </row>
    <row r="155" spans="5:5" ht="13.2">
      <c r="E155" s="15"/>
    </row>
    <row r="156" spans="5:5" ht="13.2">
      <c r="E156" s="15"/>
    </row>
    <row r="157" spans="5:5" ht="13.2">
      <c r="E157" s="15"/>
    </row>
    <row r="158" spans="5:5" ht="13.2">
      <c r="E158" s="15"/>
    </row>
    <row r="159" spans="5:5" ht="13.2">
      <c r="E159" s="15"/>
    </row>
    <row r="160" spans="5:5" ht="13.2">
      <c r="E160" s="15"/>
    </row>
    <row r="161" spans="5:5" ht="13.2">
      <c r="E161" s="15"/>
    </row>
    <row r="162" spans="5:5" ht="13.2">
      <c r="E162" s="15"/>
    </row>
    <row r="163" spans="5:5" ht="13.2">
      <c r="E163" s="15"/>
    </row>
    <row r="164" spans="5:5" ht="13.2">
      <c r="E164" s="15"/>
    </row>
    <row r="165" spans="5:5" ht="13.2">
      <c r="E165" s="15"/>
    </row>
    <row r="166" spans="5:5" ht="13.2">
      <c r="E166" s="15"/>
    </row>
    <row r="167" spans="5:5" ht="13.2">
      <c r="E167" s="15"/>
    </row>
    <row r="168" spans="5:5" ht="13.2">
      <c r="E168" s="15"/>
    </row>
    <row r="169" spans="5:5" ht="13.2">
      <c r="E169" s="15"/>
    </row>
    <row r="170" spans="5:5" ht="13.2">
      <c r="E170" s="15"/>
    </row>
    <row r="171" spans="5:5" ht="13.2">
      <c r="E171" s="15"/>
    </row>
    <row r="172" spans="5:5" ht="13.2">
      <c r="E172" s="15"/>
    </row>
    <row r="173" spans="5:5" ht="13.2">
      <c r="E173" s="15"/>
    </row>
    <row r="174" spans="5:5" ht="13.2">
      <c r="E174" s="15"/>
    </row>
    <row r="175" spans="5:5" ht="13.2">
      <c r="E175" s="15"/>
    </row>
    <row r="176" spans="5:5" ht="13.2">
      <c r="E176" s="15"/>
    </row>
    <row r="177" spans="5:5" ht="13.2">
      <c r="E177" s="15"/>
    </row>
    <row r="178" spans="5:5" ht="13.2">
      <c r="E178" s="15"/>
    </row>
    <row r="179" spans="5:5" ht="13.2">
      <c r="E179" s="15"/>
    </row>
    <row r="180" spans="5:5" ht="13.2">
      <c r="E180" s="15"/>
    </row>
    <row r="181" spans="5:5" ht="13.2">
      <c r="E181" s="15"/>
    </row>
    <row r="182" spans="5:5" ht="13.2">
      <c r="E182" s="15"/>
    </row>
    <row r="183" spans="5:5" ht="13.2">
      <c r="E183" s="15"/>
    </row>
    <row r="184" spans="5:5" ht="13.2">
      <c r="E184" s="15"/>
    </row>
    <row r="185" spans="5:5" ht="13.2">
      <c r="E185" s="15"/>
    </row>
    <row r="186" spans="5:5" ht="13.2">
      <c r="E186" s="15"/>
    </row>
    <row r="187" spans="5:5" ht="13.2">
      <c r="E187" s="15"/>
    </row>
    <row r="188" spans="5:5" ht="13.2">
      <c r="E188" s="15"/>
    </row>
    <row r="189" spans="5:5" ht="13.2">
      <c r="E189" s="15"/>
    </row>
    <row r="190" spans="5:5" ht="13.2">
      <c r="E190" s="15"/>
    </row>
    <row r="191" spans="5:5" ht="13.2">
      <c r="E191" s="15"/>
    </row>
    <row r="192" spans="5:5" ht="13.2">
      <c r="E192" s="15"/>
    </row>
    <row r="193" spans="5:5" ht="13.2">
      <c r="E193" s="15"/>
    </row>
    <row r="194" spans="5:5" ht="13.2">
      <c r="E194" s="15"/>
    </row>
    <row r="195" spans="5:5" ht="13.2">
      <c r="E195" s="15"/>
    </row>
    <row r="196" spans="5:5" ht="13.2">
      <c r="E196" s="15"/>
    </row>
    <row r="197" spans="5:5" ht="13.2">
      <c r="E197" s="15"/>
    </row>
    <row r="198" spans="5:5" ht="13.2">
      <c r="E198" s="15"/>
    </row>
    <row r="199" spans="5:5" ht="13.2">
      <c r="E199" s="15"/>
    </row>
    <row r="200" spans="5:5" ht="13.2">
      <c r="E200" s="15"/>
    </row>
    <row r="201" spans="5:5" ht="13.2">
      <c r="E201" s="15"/>
    </row>
    <row r="202" spans="5:5" ht="13.2">
      <c r="E202" s="15"/>
    </row>
    <row r="203" spans="5:5" ht="13.2">
      <c r="E203" s="15"/>
    </row>
    <row r="204" spans="5:5" ht="13.2">
      <c r="E204" s="15"/>
    </row>
    <row r="205" spans="5:5" ht="13.2">
      <c r="E205" s="15"/>
    </row>
    <row r="206" spans="5:5" ht="13.2">
      <c r="E206" s="15"/>
    </row>
    <row r="207" spans="5:5" ht="13.2">
      <c r="E207" s="15"/>
    </row>
    <row r="208" spans="5:5" ht="13.2">
      <c r="E208" s="15"/>
    </row>
    <row r="209" spans="5:5" ht="13.2">
      <c r="E209" s="15"/>
    </row>
    <row r="210" spans="5:5" ht="13.2">
      <c r="E210" s="15"/>
    </row>
    <row r="211" spans="5:5" ht="13.2">
      <c r="E211" s="15"/>
    </row>
    <row r="212" spans="5:5" ht="13.2">
      <c r="E212" s="15"/>
    </row>
    <row r="213" spans="5:5" ht="13.2">
      <c r="E213" s="15"/>
    </row>
    <row r="214" spans="5:5" ht="13.2">
      <c r="E214" s="15"/>
    </row>
    <row r="215" spans="5:5" ht="13.2">
      <c r="E215" s="15"/>
    </row>
    <row r="216" spans="5:5" ht="13.2">
      <c r="E216" s="15"/>
    </row>
    <row r="217" spans="5:5" ht="13.2">
      <c r="E217" s="15"/>
    </row>
    <row r="218" spans="5:5" ht="13.2">
      <c r="E218" s="15"/>
    </row>
    <row r="219" spans="5:5" ht="13.2">
      <c r="E219" s="15"/>
    </row>
    <row r="220" spans="5:5" ht="13.2">
      <c r="E220" s="15"/>
    </row>
    <row r="221" spans="5:5" ht="13.2">
      <c r="E221" s="15"/>
    </row>
    <row r="222" spans="5:5" ht="13.2">
      <c r="E222" s="15"/>
    </row>
    <row r="223" spans="5:5" ht="13.2">
      <c r="E223" s="15"/>
    </row>
    <row r="224" spans="5:5" ht="13.2">
      <c r="E224" s="15"/>
    </row>
    <row r="225" spans="5:5" ht="13.2">
      <c r="E225" s="15"/>
    </row>
    <row r="226" spans="5:5" ht="13.2">
      <c r="E226" s="15"/>
    </row>
    <row r="227" spans="5:5" ht="13.2">
      <c r="E227" s="15"/>
    </row>
    <row r="228" spans="5:5" ht="13.2">
      <c r="E228" s="15"/>
    </row>
    <row r="229" spans="5:5" ht="13.2">
      <c r="E229" s="15"/>
    </row>
    <row r="230" spans="5:5" ht="13.2">
      <c r="E230" s="15"/>
    </row>
    <row r="231" spans="5:5" ht="13.2">
      <c r="E231" s="15"/>
    </row>
    <row r="232" spans="5:5" ht="13.2">
      <c r="E232" s="15"/>
    </row>
    <row r="233" spans="5:5" ht="13.2">
      <c r="E233" s="15"/>
    </row>
    <row r="234" spans="5:5" ht="13.2">
      <c r="E234" s="15"/>
    </row>
    <row r="235" spans="5:5" ht="13.2">
      <c r="E235" s="15"/>
    </row>
    <row r="236" spans="5:5" ht="13.2">
      <c r="E236" s="15"/>
    </row>
    <row r="237" spans="5:5" ht="13.2">
      <c r="E237" s="15"/>
    </row>
    <row r="238" spans="5:5" ht="13.2">
      <c r="E238" s="15"/>
    </row>
    <row r="239" spans="5:5" ht="13.2">
      <c r="E239" s="15"/>
    </row>
    <row r="240" spans="5:5" ht="13.2">
      <c r="E240" s="15"/>
    </row>
    <row r="241" spans="5:5" ht="13.2">
      <c r="E241" s="15"/>
    </row>
    <row r="242" spans="5:5" ht="13.2">
      <c r="E242" s="15"/>
    </row>
    <row r="243" spans="5:5" ht="13.2">
      <c r="E243" s="15"/>
    </row>
    <row r="244" spans="5:5" ht="13.2">
      <c r="E244" s="15"/>
    </row>
    <row r="245" spans="5:5" ht="13.2">
      <c r="E245" s="15"/>
    </row>
    <row r="246" spans="5:5" ht="13.2">
      <c r="E246" s="15"/>
    </row>
    <row r="247" spans="5:5" ht="13.2">
      <c r="E247" s="15"/>
    </row>
    <row r="248" spans="5:5" ht="13.2">
      <c r="E248" s="15"/>
    </row>
    <row r="249" spans="5:5" ht="13.2">
      <c r="E249" s="15"/>
    </row>
    <row r="250" spans="5:5" ht="13.2">
      <c r="E250" s="15"/>
    </row>
    <row r="251" spans="5:5" ht="13.2">
      <c r="E251" s="15"/>
    </row>
    <row r="252" spans="5:5" ht="13.2">
      <c r="E252" s="15"/>
    </row>
    <row r="253" spans="5:5" ht="13.2">
      <c r="E253" s="15"/>
    </row>
    <row r="254" spans="5:5" ht="13.2">
      <c r="E254" s="15"/>
    </row>
    <row r="255" spans="5:5" ht="13.2">
      <c r="E255" s="15"/>
    </row>
    <row r="256" spans="5:5" ht="13.2">
      <c r="E256" s="15"/>
    </row>
    <row r="257" spans="5:5" ht="13.2">
      <c r="E257" s="15"/>
    </row>
    <row r="258" spans="5:5" ht="13.2">
      <c r="E258" s="15"/>
    </row>
    <row r="259" spans="5:5" ht="13.2">
      <c r="E259" s="15"/>
    </row>
    <row r="260" spans="5:5" ht="13.2">
      <c r="E260" s="15"/>
    </row>
    <row r="261" spans="5:5" ht="13.2">
      <c r="E261" s="15"/>
    </row>
    <row r="262" spans="5:5" ht="13.2">
      <c r="E262" s="15"/>
    </row>
    <row r="263" spans="5:5" ht="13.2">
      <c r="E263" s="15"/>
    </row>
    <row r="264" spans="5:5" ht="13.2">
      <c r="E264" s="15"/>
    </row>
    <row r="265" spans="5:5" ht="13.2">
      <c r="E265" s="15"/>
    </row>
    <row r="266" spans="5:5" ht="13.2">
      <c r="E266" s="15"/>
    </row>
    <row r="267" spans="5:5" ht="13.2">
      <c r="E267" s="15"/>
    </row>
    <row r="268" spans="5:5" ht="13.2">
      <c r="E268" s="15"/>
    </row>
    <row r="269" spans="5:5" ht="13.2">
      <c r="E269" s="15"/>
    </row>
    <row r="270" spans="5:5" ht="13.2">
      <c r="E270" s="15"/>
    </row>
    <row r="271" spans="5:5" ht="13.2">
      <c r="E271" s="15"/>
    </row>
    <row r="272" spans="5:5" ht="13.2">
      <c r="E272" s="15"/>
    </row>
    <row r="273" spans="5:5" ht="13.2">
      <c r="E273" s="15"/>
    </row>
    <row r="274" spans="5:5" ht="13.2">
      <c r="E274" s="15"/>
    </row>
    <row r="275" spans="5:5" ht="13.2">
      <c r="E275" s="15"/>
    </row>
    <row r="276" spans="5:5" ht="13.2">
      <c r="E276" s="15"/>
    </row>
    <row r="277" spans="5:5" ht="13.2">
      <c r="E277" s="15"/>
    </row>
    <row r="278" spans="5:5" ht="13.2">
      <c r="E278" s="15"/>
    </row>
    <row r="279" spans="5:5" ht="13.2">
      <c r="E279" s="15"/>
    </row>
    <row r="280" spans="5:5" ht="13.2">
      <c r="E280" s="15"/>
    </row>
    <row r="281" spans="5:5" ht="13.2">
      <c r="E281" s="15"/>
    </row>
    <row r="282" spans="5:5" ht="13.2">
      <c r="E282" s="15"/>
    </row>
    <row r="283" spans="5:5" ht="13.2">
      <c r="E283" s="15"/>
    </row>
    <row r="284" spans="5:5" ht="13.2">
      <c r="E284" s="15"/>
    </row>
    <row r="285" spans="5:5" ht="13.2">
      <c r="E285" s="15"/>
    </row>
    <row r="286" spans="5:5" ht="13.2">
      <c r="E286" s="15"/>
    </row>
    <row r="287" spans="5:5" ht="13.2">
      <c r="E287" s="15"/>
    </row>
    <row r="288" spans="5:5" ht="13.2">
      <c r="E288" s="15"/>
    </row>
    <row r="289" spans="5:5" ht="13.2">
      <c r="E289" s="15"/>
    </row>
    <row r="290" spans="5:5" ht="13.2">
      <c r="E290" s="15"/>
    </row>
    <row r="291" spans="5:5" ht="13.2">
      <c r="E291" s="15"/>
    </row>
    <row r="292" spans="5:5" ht="13.2">
      <c r="E292" s="15"/>
    </row>
    <row r="293" spans="5:5" ht="13.2">
      <c r="E293" s="15"/>
    </row>
    <row r="294" spans="5:5" ht="13.2">
      <c r="E294" s="15"/>
    </row>
    <row r="295" spans="5:5" ht="13.2">
      <c r="E295" s="15"/>
    </row>
    <row r="296" spans="5:5" ht="13.2">
      <c r="E296" s="15"/>
    </row>
    <row r="297" spans="5:5" ht="13.2">
      <c r="E297" s="15"/>
    </row>
    <row r="298" spans="5:5" ht="13.2">
      <c r="E298" s="15"/>
    </row>
    <row r="299" spans="5:5" ht="13.2">
      <c r="E299" s="15"/>
    </row>
    <row r="300" spans="5:5" ht="13.2">
      <c r="E300" s="15"/>
    </row>
    <row r="301" spans="5:5" ht="13.2">
      <c r="E301" s="15"/>
    </row>
    <row r="302" spans="5:5" ht="13.2">
      <c r="E302" s="15"/>
    </row>
    <row r="303" spans="5:5" ht="13.2">
      <c r="E303" s="15"/>
    </row>
    <row r="304" spans="5:5" ht="13.2">
      <c r="E304" s="15"/>
    </row>
    <row r="305" spans="5:5" ht="13.2">
      <c r="E305" s="15"/>
    </row>
    <row r="306" spans="5:5" ht="13.2">
      <c r="E306" s="15"/>
    </row>
    <row r="307" spans="5:5" ht="13.2">
      <c r="E307" s="15"/>
    </row>
    <row r="308" spans="5:5" ht="13.2">
      <c r="E308" s="15"/>
    </row>
    <row r="309" spans="5:5" ht="13.2">
      <c r="E309" s="15"/>
    </row>
    <row r="310" spans="5:5" ht="13.2">
      <c r="E310" s="15"/>
    </row>
    <row r="311" spans="5:5" ht="13.2">
      <c r="E311" s="15"/>
    </row>
    <row r="312" spans="5:5" ht="13.2">
      <c r="E312" s="15"/>
    </row>
    <row r="313" spans="5:5" ht="13.2">
      <c r="E313" s="15"/>
    </row>
    <row r="314" spans="5:5" ht="13.2">
      <c r="E314" s="15"/>
    </row>
    <row r="315" spans="5:5" ht="13.2">
      <c r="E315" s="15"/>
    </row>
    <row r="316" spans="5:5" ht="13.2">
      <c r="E316" s="15"/>
    </row>
    <row r="317" spans="5:5" ht="13.2">
      <c r="E317" s="15"/>
    </row>
    <row r="318" spans="5:5" ht="13.2">
      <c r="E318" s="15"/>
    </row>
    <row r="319" spans="5:5" ht="13.2">
      <c r="E319" s="15"/>
    </row>
    <row r="320" spans="5:5" ht="13.2">
      <c r="E320" s="15"/>
    </row>
    <row r="321" spans="5:5" ht="13.2">
      <c r="E321" s="15"/>
    </row>
    <row r="322" spans="5:5" ht="13.2">
      <c r="E322" s="15"/>
    </row>
    <row r="323" spans="5:5" ht="13.2">
      <c r="E323" s="15"/>
    </row>
    <row r="324" spans="5:5" ht="13.2">
      <c r="E324" s="15"/>
    </row>
    <row r="325" spans="5:5" ht="13.2">
      <c r="E325" s="15"/>
    </row>
    <row r="326" spans="5:5" ht="13.2">
      <c r="E326" s="15"/>
    </row>
    <row r="327" spans="5:5" ht="13.2">
      <c r="E327" s="15"/>
    </row>
    <row r="328" spans="5:5" ht="13.2">
      <c r="E328" s="15"/>
    </row>
    <row r="329" spans="5:5" ht="13.2">
      <c r="E329" s="15"/>
    </row>
    <row r="330" spans="5:5" ht="13.2">
      <c r="E330" s="15"/>
    </row>
    <row r="331" spans="5:5" ht="13.2">
      <c r="E331" s="15"/>
    </row>
    <row r="332" spans="5:5" ht="13.2">
      <c r="E332" s="15"/>
    </row>
    <row r="333" spans="5:5" ht="13.2">
      <c r="E333" s="15"/>
    </row>
    <row r="334" spans="5:5" ht="13.2">
      <c r="E334" s="15"/>
    </row>
    <row r="335" spans="5:5" ht="13.2">
      <c r="E335" s="15"/>
    </row>
    <row r="336" spans="5:5" ht="13.2">
      <c r="E336" s="15"/>
    </row>
    <row r="337" spans="5:5" ht="13.2">
      <c r="E337" s="15"/>
    </row>
    <row r="338" spans="5:5" ht="13.2">
      <c r="E338" s="15"/>
    </row>
    <row r="339" spans="5:5" ht="13.2">
      <c r="E339" s="15"/>
    </row>
    <row r="340" spans="5:5" ht="13.2">
      <c r="E340" s="15"/>
    </row>
    <row r="341" spans="5:5" ht="13.2">
      <c r="E341" s="15"/>
    </row>
    <row r="342" spans="5:5" ht="13.2">
      <c r="E342" s="15"/>
    </row>
    <row r="343" spans="5:5" ht="13.2">
      <c r="E343" s="15"/>
    </row>
    <row r="344" spans="5:5" ht="13.2">
      <c r="E344" s="15"/>
    </row>
    <row r="345" spans="5:5" ht="13.2">
      <c r="E345" s="15"/>
    </row>
    <row r="346" spans="5:5" ht="13.2">
      <c r="E346" s="15"/>
    </row>
    <row r="347" spans="5:5" ht="13.2">
      <c r="E347" s="15"/>
    </row>
    <row r="348" spans="5:5" ht="13.2">
      <c r="E348" s="15"/>
    </row>
    <row r="349" spans="5:5" ht="13.2">
      <c r="E349" s="15"/>
    </row>
    <row r="350" spans="5:5" ht="13.2">
      <c r="E350" s="15"/>
    </row>
    <row r="351" spans="5:5" ht="13.2">
      <c r="E351" s="15"/>
    </row>
    <row r="352" spans="5:5" ht="13.2">
      <c r="E352" s="15"/>
    </row>
    <row r="353" spans="5:5" ht="13.2">
      <c r="E353" s="15"/>
    </row>
    <row r="354" spans="5:5" ht="13.2">
      <c r="E354" s="15"/>
    </row>
    <row r="355" spans="5:5" ht="13.2">
      <c r="E355" s="15"/>
    </row>
    <row r="356" spans="5:5" ht="13.2">
      <c r="E356" s="15"/>
    </row>
    <row r="357" spans="5:5" ht="13.2">
      <c r="E357" s="15"/>
    </row>
    <row r="358" spans="5:5" ht="13.2">
      <c r="E358" s="15"/>
    </row>
    <row r="359" spans="5:5" ht="13.2">
      <c r="E359" s="15"/>
    </row>
    <row r="360" spans="5:5" ht="13.2">
      <c r="E360" s="15"/>
    </row>
    <row r="361" spans="5:5" ht="13.2">
      <c r="E361" s="15"/>
    </row>
    <row r="362" spans="5:5" ht="13.2">
      <c r="E362" s="15"/>
    </row>
    <row r="363" spans="5:5" ht="13.2">
      <c r="E363" s="15"/>
    </row>
    <row r="364" spans="5:5" ht="13.2">
      <c r="E364" s="15"/>
    </row>
    <row r="365" spans="5:5" ht="13.2">
      <c r="E365" s="15"/>
    </row>
    <row r="366" spans="5:5" ht="13.2">
      <c r="E366" s="15"/>
    </row>
    <row r="367" spans="5:5" ht="13.2">
      <c r="E367" s="15"/>
    </row>
    <row r="368" spans="5:5" ht="13.2">
      <c r="E368" s="15"/>
    </row>
    <row r="369" spans="5:5" ht="13.2">
      <c r="E369" s="15"/>
    </row>
    <row r="370" spans="5:5" ht="13.2">
      <c r="E370" s="15"/>
    </row>
    <row r="371" spans="5:5" ht="13.2">
      <c r="E371" s="15"/>
    </row>
    <row r="372" spans="5:5" ht="13.2">
      <c r="E372" s="15"/>
    </row>
    <row r="373" spans="5:5" ht="13.2">
      <c r="E373" s="15"/>
    </row>
    <row r="374" spans="5:5" ht="13.2">
      <c r="E374" s="15"/>
    </row>
    <row r="375" spans="5:5" ht="13.2">
      <c r="E375" s="15"/>
    </row>
    <row r="376" spans="5:5" ht="13.2">
      <c r="E376" s="15"/>
    </row>
    <row r="377" spans="5:5" ht="13.2">
      <c r="E377" s="15"/>
    </row>
    <row r="378" spans="5:5" ht="13.2">
      <c r="E378" s="15"/>
    </row>
    <row r="379" spans="5:5" ht="13.2">
      <c r="E379" s="15"/>
    </row>
    <row r="380" spans="5:5" ht="13.2">
      <c r="E380" s="15"/>
    </row>
    <row r="381" spans="5:5" ht="13.2">
      <c r="E381" s="15"/>
    </row>
    <row r="382" spans="5:5" ht="13.2">
      <c r="E382" s="15"/>
    </row>
    <row r="383" spans="5:5" ht="13.2">
      <c r="E383" s="15"/>
    </row>
    <row r="384" spans="5:5" ht="13.2">
      <c r="E384" s="15"/>
    </row>
    <row r="385" spans="5:5" ht="13.2">
      <c r="E385" s="15"/>
    </row>
    <row r="386" spans="5:5" ht="13.2">
      <c r="E386" s="15"/>
    </row>
    <row r="387" spans="5:5" ht="13.2">
      <c r="E387" s="15"/>
    </row>
    <row r="388" spans="5:5" ht="13.2">
      <c r="E388" s="15"/>
    </row>
    <row r="389" spans="5:5" ht="13.2">
      <c r="E389" s="15"/>
    </row>
    <row r="390" spans="5:5" ht="13.2">
      <c r="E390" s="15"/>
    </row>
    <row r="391" spans="5:5" ht="13.2">
      <c r="E391" s="15"/>
    </row>
    <row r="392" spans="5:5" ht="13.2">
      <c r="E392" s="15"/>
    </row>
    <row r="393" spans="5:5" ht="13.2">
      <c r="E393" s="15"/>
    </row>
    <row r="394" spans="5:5" ht="13.2">
      <c r="E394" s="15"/>
    </row>
    <row r="395" spans="5:5" ht="13.2">
      <c r="E395" s="15"/>
    </row>
    <row r="396" spans="5:5" ht="13.2">
      <c r="E396" s="15"/>
    </row>
    <row r="397" spans="5:5" ht="13.2">
      <c r="E397" s="15"/>
    </row>
    <row r="398" spans="5:5" ht="13.2">
      <c r="E398" s="15"/>
    </row>
    <row r="399" spans="5:5" ht="13.2">
      <c r="E399" s="15"/>
    </row>
    <row r="400" spans="5:5" ht="13.2">
      <c r="E400" s="15"/>
    </row>
    <row r="401" spans="5:5" ht="13.2">
      <c r="E401" s="15"/>
    </row>
    <row r="402" spans="5:5" ht="13.2">
      <c r="E402" s="15"/>
    </row>
    <row r="403" spans="5:5" ht="13.2">
      <c r="E403" s="15"/>
    </row>
    <row r="404" spans="5:5" ht="13.2">
      <c r="E404" s="15"/>
    </row>
    <row r="405" spans="5:5" ht="13.2">
      <c r="E405" s="15"/>
    </row>
    <row r="406" spans="5:5" ht="13.2">
      <c r="E406" s="15"/>
    </row>
    <row r="407" spans="5:5" ht="13.2">
      <c r="E407" s="15"/>
    </row>
    <row r="408" spans="5:5" ht="13.2">
      <c r="E408" s="15"/>
    </row>
    <row r="409" spans="5:5" ht="13.2">
      <c r="E409" s="15"/>
    </row>
    <row r="410" spans="5:5" ht="13.2">
      <c r="E410" s="15"/>
    </row>
    <row r="411" spans="5:5" ht="13.2">
      <c r="E411" s="15"/>
    </row>
    <row r="412" spans="5:5" ht="13.2">
      <c r="E412" s="15"/>
    </row>
    <row r="413" spans="5:5" ht="13.2">
      <c r="E413" s="15"/>
    </row>
    <row r="414" spans="5:5" ht="13.2">
      <c r="E414" s="15"/>
    </row>
    <row r="415" spans="5:5" ht="13.2">
      <c r="E415" s="15"/>
    </row>
    <row r="416" spans="5:5" ht="13.2">
      <c r="E416" s="15"/>
    </row>
    <row r="417" spans="5:5" ht="13.2">
      <c r="E417" s="15"/>
    </row>
    <row r="418" spans="5:5" ht="13.2">
      <c r="E418" s="15"/>
    </row>
    <row r="419" spans="5:5" ht="13.2">
      <c r="E419" s="15"/>
    </row>
    <row r="420" spans="5:5" ht="13.2">
      <c r="E420" s="15"/>
    </row>
    <row r="421" spans="5:5" ht="13.2">
      <c r="E421" s="15"/>
    </row>
    <row r="422" spans="5:5" ht="13.2">
      <c r="E422" s="15"/>
    </row>
    <row r="423" spans="5:5" ht="13.2">
      <c r="E423" s="15"/>
    </row>
    <row r="424" spans="5:5" ht="13.2">
      <c r="E424" s="15"/>
    </row>
    <row r="425" spans="5:5" ht="13.2">
      <c r="E425" s="15"/>
    </row>
    <row r="426" spans="5:5" ht="13.2">
      <c r="E426" s="15"/>
    </row>
    <row r="427" spans="5:5" ht="13.2">
      <c r="E427" s="15"/>
    </row>
    <row r="428" spans="5:5" ht="13.2">
      <c r="E428" s="15"/>
    </row>
    <row r="429" spans="5:5" ht="13.2">
      <c r="E429" s="15"/>
    </row>
    <row r="430" spans="5:5" ht="13.2">
      <c r="E430" s="15"/>
    </row>
    <row r="431" spans="5:5" ht="13.2">
      <c r="E431" s="15"/>
    </row>
    <row r="432" spans="5:5" ht="13.2">
      <c r="E432" s="15"/>
    </row>
    <row r="433" spans="5:5" ht="13.2">
      <c r="E433" s="15"/>
    </row>
    <row r="434" spans="5:5" ht="13.2">
      <c r="E434" s="15"/>
    </row>
    <row r="435" spans="5:5" ht="13.2">
      <c r="E435" s="15"/>
    </row>
    <row r="436" spans="5:5" ht="13.2">
      <c r="E436" s="15"/>
    </row>
    <row r="437" spans="5:5" ht="13.2">
      <c r="E437" s="15"/>
    </row>
    <row r="438" spans="5:5" ht="13.2">
      <c r="E438" s="15"/>
    </row>
    <row r="439" spans="5:5" ht="13.2">
      <c r="E439" s="15"/>
    </row>
    <row r="440" spans="5:5" ht="13.2">
      <c r="E440" s="15"/>
    </row>
    <row r="441" spans="5:5" ht="13.2">
      <c r="E441" s="15"/>
    </row>
    <row r="442" spans="5:5" ht="13.2">
      <c r="E442" s="15"/>
    </row>
    <row r="443" spans="5:5" ht="13.2">
      <c r="E443" s="15"/>
    </row>
    <row r="444" spans="5:5" ht="13.2">
      <c r="E444" s="15"/>
    </row>
    <row r="445" spans="5:5" ht="13.2">
      <c r="E445" s="15"/>
    </row>
    <row r="446" spans="5:5" ht="13.2">
      <c r="E446" s="15"/>
    </row>
    <row r="447" spans="5:5" ht="13.2">
      <c r="E447" s="15"/>
    </row>
    <row r="448" spans="5:5" ht="13.2">
      <c r="E448" s="15"/>
    </row>
    <row r="449" spans="5:5" ht="13.2">
      <c r="E449" s="15"/>
    </row>
    <row r="450" spans="5:5" ht="13.2">
      <c r="E450" s="15"/>
    </row>
    <row r="451" spans="5:5" ht="13.2">
      <c r="E451" s="15"/>
    </row>
    <row r="452" spans="5:5" ht="13.2">
      <c r="E452" s="15"/>
    </row>
    <row r="453" spans="5:5" ht="13.2">
      <c r="E453" s="15"/>
    </row>
    <row r="454" spans="5:5" ht="13.2">
      <c r="E454" s="15"/>
    </row>
    <row r="455" spans="5:5" ht="13.2">
      <c r="E455" s="15"/>
    </row>
    <row r="456" spans="5:5" ht="13.2">
      <c r="E456" s="15"/>
    </row>
    <row r="457" spans="5:5" ht="13.2">
      <c r="E457" s="15"/>
    </row>
    <row r="458" spans="5:5" ht="13.2">
      <c r="E458" s="15"/>
    </row>
    <row r="459" spans="5:5" ht="13.2">
      <c r="E459" s="15"/>
    </row>
    <row r="460" spans="5:5" ht="13.2">
      <c r="E460" s="15"/>
    </row>
    <row r="461" spans="5:5" ht="13.2">
      <c r="E461" s="15"/>
    </row>
    <row r="462" spans="5:5" ht="13.2">
      <c r="E462" s="15"/>
    </row>
    <row r="463" spans="5:5" ht="13.2">
      <c r="E463" s="15"/>
    </row>
    <row r="464" spans="5:5" ht="13.2">
      <c r="E464" s="15"/>
    </row>
    <row r="465" spans="5:5" ht="13.2">
      <c r="E465" s="15"/>
    </row>
    <row r="466" spans="5:5" ht="13.2">
      <c r="E466" s="15"/>
    </row>
    <row r="467" spans="5:5" ht="13.2">
      <c r="E467" s="15"/>
    </row>
    <row r="468" spans="5:5" ht="13.2">
      <c r="E468" s="15"/>
    </row>
    <row r="469" spans="5:5" ht="13.2">
      <c r="E469" s="15"/>
    </row>
    <row r="470" spans="5:5" ht="13.2">
      <c r="E470" s="15"/>
    </row>
    <row r="471" spans="5:5" ht="13.2">
      <c r="E471" s="15"/>
    </row>
    <row r="472" spans="5:5" ht="13.2">
      <c r="E472" s="15"/>
    </row>
    <row r="473" spans="5:5" ht="13.2">
      <c r="E473" s="15"/>
    </row>
    <row r="474" spans="5:5" ht="13.2">
      <c r="E474" s="15"/>
    </row>
    <row r="475" spans="5:5" ht="13.2">
      <c r="E475" s="15"/>
    </row>
    <row r="476" spans="5:5" ht="13.2">
      <c r="E476" s="15"/>
    </row>
    <row r="477" spans="5:5" ht="13.2">
      <c r="E477" s="15"/>
    </row>
    <row r="478" spans="5:5" ht="13.2">
      <c r="E478" s="15"/>
    </row>
    <row r="479" spans="5:5" ht="13.2">
      <c r="E479" s="15"/>
    </row>
    <row r="480" spans="5:5" ht="13.2">
      <c r="E480" s="15"/>
    </row>
    <row r="481" spans="5:5" ht="13.2">
      <c r="E481" s="15"/>
    </row>
    <row r="482" spans="5:5" ht="13.2">
      <c r="E482" s="15"/>
    </row>
    <row r="483" spans="5:5" ht="13.2">
      <c r="E483" s="15"/>
    </row>
    <row r="484" spans="5:5" ht="13.2">
      <c r="E484" s="15"/>
    </row>
    <row r="485" spans="5:5" ht="13.2">
      <c r="E485" s="15"/>
    </row>
    <row r="486" spans="5:5" ht="13.2">
      <c r="E486" s="15"/>
    </row>
    <row r="487" spans="5:5" ht="13.2">
      <c r="E487" s="15"/>
    </row>
    <row r="488" spans="5:5" ht="13.2">
      <c r="E488" s="15"/>
    </row>
    <row r="489" spans="5:5" ht="13.2">
      <c r="E489" s="15"/>
    </row>
    <row r="490" spans="5:5" ht="13.2">
      <c r="E490" s="15"/>
    </row>
    <row r="491" spans="5:5" ht="13.2">
      <c r="E491" s="15"/>
    </row>
    <row r="492" spans="5:5" ht="13.2">
      <c r="E492" s="15"/>
    </row>
    <row r="493" spans="5:5" ht="13.2">
      <c r="E493" s="15"/>
    </row>
    <row r="494" spans="5:5" ht="13.2">
      <c r="E494" s="15"/>
    </row>
    <row r="495" spans="5:5" ht="13.2">
      <c r="E495" s="15"/>
    </row>
    <row r="496" spans="5:5" ht="13.2">
      <c r="E496" s="15"/>
    </row>
    <row r="497" spans="5:5" ht="13.2">
      <c r="E497" s="15"/>
    </row>
    <row r="498" spans="5:5" ht="13.2">
      <c r="E498" s="15"/>
    </row>
    <row r="499" spans="5:5" ht="13.2">
      <c r="E499" s="15"/>
    </row>
    <row r="500" spans="5:5" ht="13.2">
      <c r="E500" s="15"/>
    </row>
    <row r="501" spans="5:5" ht="13.2">
      <c r="E501" s="15"/>
    </row>
    <row r="502" spans="5:5" ht="13.2">
      <c r="E502" s="15"/>
    </row>
    <row r="503" spans="5:5" ht="13.2">
      <c r="E503" s="15"/>
    </row>
    <row r="504" spans="5:5" ht="13.2">
      <c r="E504" s="15"/>
    </row>
    <row r="505" spans="5:5" ht="13.2">
      <c r="E505" s="15"/>
    </row>
    <row r="506" spans="5:5" ht="13.2">
      <c r="E506" s="15"/>
    </row>
    <row r="507" spans="5:5" ht="13.2">
      <c r="E507" s="15"/>
    </row>
    <row r="508" spans="5:5" ht="13.2">
      <c r="E508" s="15"/>
    </row>
    <row r="509" spans="5:5" ht="13.2">
      <c r="E509" s="15"/>
    </row>
    <row r="510" spans="5:5" ht="13.2">
      <c r="E510" s="15"/>
    </row>
    <row r="511" spans="5:5" ht="13.2">
      <c r="E511" s="15"/>
    </row>
    <row r="512" spans="5:5" ht="13.2">
      <c r="E512" s="15"/>
    </row>
    <row r="513" spans="5:5" ht="13.2">
      <c r="E513" s="15"/>
    </row>
    <row r="514" spans="5:5" ht="13.2">
      <c r="E514" s="15"/>
    </row>
    <row r="515" spans="5:5" ht="13.2">
      <c r="E515" s="15"/>
    </row>
    <row r="516" spans="5:5" ht="13.2">
      <c r="E516" s="15"/>
    </row>
    <row r="517" spans="5:5" ht="13.2">
      <c r="E517" s="15"/>
    </row>
    <row r="518" spans="5:5" ht="13.2">
      <c r="E518" s="15"/>
    </row>
    <row r="519" spans="5:5" ht="13.2">
      <c r="E519" s="15"/>
    </row>
    <row r="520" spans="5:5" ht="13.2">
      <c r="E520" s="15"/>
    </row>
    <row r="521" spans="5:5" ht="13.2">
      <c r="E521" s="15"/>
    </row>
    <row r="522" spans="5:5" ht="13.2">
      <c r="E522" s="15"/>
    </row>
    <row r="523" spans="5:5" ht="13.2">
      <c r="E523" s="15"/>
    </row>
    <row r="524" spans="5:5" ht="13.2">
      <c r="E524" s="15"/>
    </row>
    <row r="525" spans="5:5" ht="13.2">
      <c r="E525" s="15"/>
    </row>
    <row r="526" spans="5:5" ht="13.2">
      <c r="E526" s="15"/>
    </row>
    <row r="527" spans="5:5" ht="13.2">
      <c r="E527" s="15"/>
    </row>
    <row r="528" spans="5:5" ht="13.2">
      <c r="E528" s="15"/>
    </row>
    <row r="529" spans="5:5" ht="13.2">
      <c r="E529" s="15"/>
    </row>
    <row r="530" spans="5:5" ht="13.2">
      <c r="E530" s="15"/>
    </row>
    <row r="531" spans="5:5" ht="13.2">
      <c r="E531" s="15"/>
    </row>
    <row r="532" spans="5:5" ht="13.2">
      <c r="E532" s="15"/>
    </row>
    <row r="533" spans="5:5" ht="13.2">
      <c r="E533" s="15"/>
    </row>
    <row r="534" spans="5:5" ht="13.2">
      <c r="E534" s="15"/>
    </row>
    <row r="535" spans="5:5" ht="13.2">
      <c r="E535" s="15"/>
    </row>
    <row r="536" spans="5:5" ht="13.2">
      <c r="E536" s="15"/>
    </row>
    <row r="537" spans="5:5" ht="13.2">
      <c r="E537" s="15"/>
    </row>
    <row r="538" spans="5:5" ht="13.2">
      <c r="E538" s="15"/>
    </row>
    <row r="539" spans="5:5" ht="13.2">
      <c r="E539" s="15"/>
    </row>
    <row r="540" spans="5:5" ht="13.2">
      <c r="E540" s="15"/>
    </row>
    <row r="541" spans="5:5" ht="13.2">
      <c r="E541" s="15"/>
    </row>
    <row r="542" spans="5:5" ht="13.2">
      <c r="E542" s="15"/>
    </row>
    <row r="543" spans="5:5" ht="13.2">
      <c r="E543" s="15"/>
    </row>
    <row r="544" spans="5:5" ht="13.2">
      <c r="E544" s="15"/>
    </row>
    <row r="545" spans="5:5" ht="13.2">
      <c r="E545" s="15"/>
    </row>
    <row r="546" spans="5:5" ht="13.2">
      <c r="E546" s="15"/>
    </row>
    <row r="547" spans="5:5" ht="13.2">
      <c r="E547" s="15"/>
    </row>
    <row r="548" spans="5:5" ht="13.2">
      <c r="E548" s="15"/>
    </row>
    <row r="549" spans="5:5" ht="13.2">
      <c r="E549" s="15"/>
    </row>
    <row r="550" spans="5:5" ht="13.2">
      <c r="E550" s="15"/>
    </row>
    <row r="551" spans="5:5" ht="13.2">
      <c r="E551" s="15"/>
    </row>
    <row r="552" spans="5:5" ht="13.2">
      <c r="E552" s="15"/>
    </row>
    <row r="553" spans="5:5" ht="13.2">
      <c r="E553" s="15"/>
    </row>
    <row r="554" spans="5:5" ht="13.2">
      <c r="E554" s="15"/>
    </row>
    <row r="555" spans="5:5" ht="13.2">
      <c r="E555" s="15"/>
    </row>
    <row r="556" spans="5:5" ht="13.2">
      <c r="E556" s="15"/>
    </row>
    <row r="557" spans="5:5" ht="13.2">
      <c r="E557" s="15"/>
    </row>
    <row r="558" spans="5:5" ht="13.2">
      <c r="E558" s="15"/>
    </row>
    <row r="559" spans="5:5" ht="13.2">
      <c r="E559" s="15"/>
    </row>
    <row r="560" spans="5:5" ht="13.2">
      <c r="E560" s="15"/>
    </row>
    <row r="561" spans="5:5" ht="13.2">
      <c r="E561" s="15"/>
    </row>
    <row r="562" spans="5:5" ht="13.2">
      <c r="E562" s="15"/>
    </row>
    <row r="563" spans="5:5" ht="13.2">
      <c r="E563" s="15"/>
    </row>
    <row r="564" spans="5:5" ht="13.2">
      <c r="E564" s="15"/>
    </row>
    <row r="565" spans="5:5" ht="13.2">
      <c r="E565" s="15"/>
    </row>
    <row r="566" spans="5:5" ht="13.2">
      <c r="E566" s="15"/>
    </row>
    <row r="567" spans="5:5" ht="13.2">
      <c r="E567" s="15"/>
    </row>
    <row r="568" spans="5:5" ht="13.2">
      <c r="E568" s="15"/>
    </row>
    <row r="569" spans="5:5" ht="13.2">
      <c r="E569" s="15"/>
    </row>
    <row r="570" spans="5:5" ht="13.2">
      <c r="E570" s="15"/>
    </row>
    <row r="571" spans="5:5" ht="13.2">
      <c r="E571" s="15"/>
    </row>
    <row r="572" spans="5:5" ht="13.2">
      <c r="E572" s="15"/>
    </row>
    <row r="573" spans="5:5" ht="13.2">
      <c r="E573" s="15"/>
    </row>
    <row r="574" spans="5:5" ht="13.2">
      <c r="E574" s="15"/>
    </row>
    <row r="575" spans="5:5" ht="13.2">
      <c r="E575" s="15"/>
    </row>
    <row r="576" spans="5:5" ht="13.2">
      <c r="E576" s="15"/>
    </row>
    <row r="577" spans="5:5" ht="13.2">
      <c r="E577" s="15"/>
    </row>
    <row r="578" spans="5:5" ht="13.2">
      <c r="E578" s="15"/>
    </row>
    <row r="579" spans="5:5" ht="13.2">
      <c r="E579" s="15"/>
    </row>
    <row r="580" spans="5:5" ht="13.2">
      <c r="E580" s="15"/>
    </row>
    <row r="581" spans="5:5" ht="13.2">
      <c r="E581" s="15"/>
    </row>
    <row r="582" spans="5:5" ht="13.2">
      <c r="E582" s="15"/>
    </row>
    <row r="583" spans="5:5" ht="13.2">
      <c r="E583" s="15"/>
    </row>
    <row r="584" spans="5:5" ht="13.2">
      <c r="E584" s="15"/>
    </row>
    <row r="585" spans="5:5" ht="13.2">
      <c r="E585" s="15"/>
    </row>
    <row r="586" spans="5:5" ht="13.2">
      <c r="E586" s="15"/>
    </row>
    <row r="587" spans="5:5" ht="13.2">
      <c r="E587" s="15"/>
    </row>
    <row r="588" spans="5:5" ht="13.2">
      <c r="E588" s="15"/>
    </row>
    <row r="589" spans="5:5" ht="13.2">
      <c r="E589" s="15"/>
    </row>
    <row r="590" spans="5:5" ht="13.2">
      <c r="E590" s="15"/>
    </row>
    <row r="591" spans="5:5" ht="13.2">
      <c r="E591" s="15"/>
    </row>
    <row r="592" spans="5:5" ht="13.2">
      <c r="E592" s="15"/>
    </row>
    <row r="593" spans="5:5" ht="13.2">
      <c r="E593" s="15"/>
    </row>
    <row r="594" spans="5:5" ht="13.2">
      <c r="E594" s="15"/>
    </row>
    <row r="595" spans="5:5" ht="13.2">
      <c r="E595" s="15"/>
    </row>
    <row r="596" spans="5:5" ht="13.2">
      <c r="E596" s="15"/>
    </row>
    <row r="597" spans="5:5" ht="13.2">
      <c r="E597" s="15"/>
    </row>
    <row r="598" spans="5:5" ht="13.2">
      <c r="E598" s="15"/>
    </row>
    <row r="599" spans="5:5" ht="13.2">
      <c r="E599" s="15"/>
    </row>
    <row r="600" spans="5:5" ht="13.2">
      <c r="E600" s="15"/>
    </row>
    <row r="601" spans="5:5" ht="13.2">
      <c r="E601" s="15"/>
    </row>
    <row r="602" spans="5:5" ht="13.2">
      <c r="E602" s="15"/>
    </row>
    <row r="603" spans="5:5" ht="13.2">
      <c r="E603" s="15"/>
    </row>
    <row r="604" spans="5:5" ht="13.2">
      <c r="E604" s="15"/>
    </row>
    <row r="605" spans="5:5" ht="13.2">
      <c r="E605" s="15"/>
    </row>
    <row r="606" spans="5:5" ht="13.2">
      <c r="E606" s="15"/>
    </row>
    <row r="607" spans="5:5" ht="13.2">
      <c r="E607" s="15"/>
    </row>
    <row r="608" spans="5:5" ht="13.2">
      <c r="E608" s="15"/>
    </row>
    <row r="609" spans="5:5" ht="13.2">
      <c r="E609" s="15"/>
    </row>
    <row r="610" spans="5:5" ht="13.2">
      <c r="E610" s="15"/>
    </row>
    <row r="611" spans="5:5" ht="13.2">
      <c r="E611" s="15"/>
    </row>
    <row r="612" spans="5:5" ht="13.2">
      <c r="E612" s="15"/>
    </row>
    <row r="613" spans="5:5" ht="13.2">
      <c r="E613" s="15"/>
    </row>
    <row r="614" spans="5:5" ht="13.2">
      <c r="E614" s="15"/>
    </row>
    <row r="615" spans="5:5" ht="13.2">
      <c r="E615" s="15"/>
    </row>
    <row r="616" spans="5:5" ht="13.2">
      <c r="E616" s="15"/>
    </row>
    <row r="617" spans="5:5" ht="13.2">
      <c r="E617" s="15"/>
    </row>
    <row r="618" spans="5:5" ht="13.2">
      <c r="E618" s="15"/>
    </row>
    <row r="619" spans="5:5" ht="13.2">
      <c r="E619" s="15"/>
    </row>
    <row r="620" spans="5:5" ht="13.2">
      <c r="E620" s="15"/>
    </row>
    <row r="621" spans="5:5" ht="13.2">
      <c r="E621" s="15"/>
    </row>
    <row r="622" spans="5:5" ht="13.2">
      <c r="E622" s="15"/>
    </row>
    <row r="623" spans="5:5" ht="13.2">
      <c r="E623" s="15"/>
    </row>
    <row r="624" spans="5:5" ht="13.2">
      <c r="E624" s="15"/>
    </row>
    <row r="625" spans="5:5" ht="13.2">
      <c r="E625" s="15"/>
    </row>
    <row r="626" spans="5:5" ht="13.2">
      <c r="E626" s="15"/>
    </row>
    <row r="627" spans="5:5" ht="13.2">
      <c r="E627" s="15"/>
    </row>
    <row r="628" spans="5:5" ht="13.2">
      <c r="E628" s="15"/>
    </row>
    <row r="629" spans="5:5" ht="13.2">
      <c r="E629" s="15"/>
    </row>
    <row r="630" spans="5:5" ht="13.2">
      <c r="E630" s="15"/>
    </row>
    <row r="631" spans="5:5" ht="13.2">
      <c r="E631" s="15"/>
    </row>
    <row r="632" spans="5:5" ht="13.2">
      <c r="E632" s="15"/>
    </row>
    <row r="633" spans="5:5" ht="13.2">
      <c r="E633" s="15"/>
    </row>
    <row r="634" spans="5:5" ht="13.2">
      <c r="E634" s="15"/>
    </row>
    <row r="635" spans="5:5" ht="13.2">
      <c r="E635" s="15"/>
    </row>
    <row r="636" spans="5:5" ht="13.2">
      <c r="E636" s="15"/>
    </row>
    <row r="637" spans="5:5" ht="13.2">
      <c r="E637" s="15"/>
    </row>
    <row r="638" spans="5:5" ht="13.2">
      <c r="E638" s="15"/>
    </row>
    <row r="639" spans="5:5" ht="13.2">
      <c r="E639" s="15"/>
    </row>
    <row r="640" spans="5:5" ht="13.2">
      <c r="E640" s="15"/>
    </row>
    <row r="641" spans="5:5" ht="13.2">
      <c r="E641" s="15"/>
    </row>
    <row r="642" spans="5:5" ht="13.2">
      <c r="E642" s="15"/>
    </row>
    <row r="643" spans="5:5" ht="13.2">
      <c r="E643" s="15"/>
    </row>
    <row r="644" spans="5:5" ht="13.2">
      <c r="E644" s="15"/>
    </row>
    <row r="645" spans="5:5" ht="13.2">
      <c r="E645" s="15"/>
    </row>
    <row r="646" spans="5:5" ht="13.2">
      <c r="E646" s="15"/>
    </row>
    <row r="647" spans="5:5" ht="13.2">
      <c r="E647" s="15"/>
    </row>
    <row r="648" spans="5:5" ht="13.2">
      <c r="E648" s="15"/>
    </row>
    <row r="649" spans="5:5" ht="13.2">
      <c r="E649" s="15"/>
    </row>
    <row r="650" spans="5:5" ht="13.2">
      <c r="E650" s="15"/>
    </row>
    <row r="651" spans="5:5" ht="13.2">
      <c r="E651" s="15"/>
    </row>
    <row r="652" spans="5:5" ht="13.2">
      <c r="E652" s="15"/>
    </row>
    <row r="653" spans="5:5" ht="13.2">
      <c r="E653" s="15"/>
    </row>
    <row r="654" spans="5:5" ht="13.2">
      <c r="E654" s="15"/>
    </row>
    <row r="655" spans="5:5" ht="13.2">
      <c r="E655" s="15"/>
    </row>
    <row r="656" spans="5:5" ht="13.2">
      <c r="E656" s="15"/>
    </row>
    <row r="657" spans="5:5" ht="13.2">
      <c r="E657" s="15"/>
    </row>
    <row r="658" spans="5:5" ht="13.2">
      <c r="E658" s="15"/>
    </row>
    <row r="659" spans="5:5" ht="13.2">
      <c r="E659" s="15"/>
    </row>
    <row r="660" spans="5:5" ht="13.2">
      <c r="E660" s="15"/>
    </row>
    <row r="661" spans="5:5" ht="13.2">
      <c r="E661" s="15"/>
    </row>
    <row r="662" spans="5:5" ht="13.2">
      <c r="E662" s="15"/>
    </row>
    <row r="663" spans="5:5" ht="13.2">
      <c r="E663" s="15"/>
    </row>
    <row r="664" spans="5:5" ht="13.2">
      <c r="E664" s="15"/>
    </row>
    <row r="665" spans="5:5" ht="13.2">
      <c r="E665" s="15"/>
    </row>
    <row r="666" spans="5:5" ht="13.2">
      <c r="E666" s="15"/>
    </row>
    <row r="667" spans="5:5" ht="13.2">
      <c r="E667" s="15"/>
    </row>
    <row r="668" spans="5:5" ht="13.2">
      <c r="E668" s="15"/>
    </row>
    <row r="669" spans="5:5" ht="13.2">
      <c r="E669" s="15"/>
    </row>
    <row r="670" spans="5:5" ht="13.2">
      <c r="E670" s="15"/>
    </row>
    <row r="671" spans="5:5" ht="13.2">
      <c r="E671" s="15"/>
    </row>
    <row r="672" spans="5:5" ht="13.2">
      <c r="E672" s="15"/>
    </row>
    <row r="673" spans="5:5" ht="13.2">
      <c r="E673" s="15"/>
    </row>
    <row r="674" spans="5:5" ht="13.2">
      <c r="E674" s="15"/>
    </row>
    <row r="675" spans="5:5" ht="13.2">
      <c r="E675" s="15"/>
    </row>
    <row r="676" spans="5:5" ht="13.2">
      <c r="E676" s="15"/>
    </row>
    <row r="677" spans="5:5" ht="13.2">
      <c r="E677" s="15"/>
    </row>
    <row r="678" spans="5:5" ht="13.2">
      <c r="E678" s="15"/>
    </row>
    <row r="679" spans="5:5" ht="13.2">
      <c r="E679" s="15"/>
    </row>
    <row r="680" spans="5:5" ht="13.2">
      <c r="E680" s="15"/>
    </row>
    <row r="681" spans="5:5" ht="13.2">
      <c r="E681" s="15"/>
    </row>
    <row r="682" spans="5:5" ht="13.2">
      <c r="E682" s="15"/>
    </row>
    <row r="683" spans="5:5" ht="13.2">
      <c r="E683" s="15"/>
    </row>
    <row r="684" spans="5:5" ht="13.2">
      <c r="E684" s="15"/>
    </row>
    <row r="685" spans="5:5" ht="13.2">
      <c r="E685" s="15"/>
    </row>
    <row r="686" spans="5:5" ht="13.2">
      <c r="E686" s="15"/>
    </row>
    <row r="687" spans="5:5" ht="13.2">
      <c r="E687" s="15"/>
    </row>
    <row r="688" spans="5:5" ht="13.2">
      <c r="E688" s="15"/>
    </row>
    <row r="689" spans="5:5" ht="13.2">
      <c r="E689" s="15"/>
    </row>
    <row r="690" spans="5:5" ht="13.2">
      <c r="E690" s="15"/>
    </row>
    <row r="691" spans="5:5" ht="13.2">
      <c r="E691" s="15"/>
    </row>
    <row r="692" spans="5:5" ht="13.2">
      <c r="E692" s="15"/>
    </row>
    <row r="693" spans="5:5" ht="13.2">
      <c r="E693" s="15"/>
    </row>
    <row r="694" spans="5:5" ht="13.2">
      <c r="E694" s="15"/>
    </row>
    <row r="695" spans="5:5" ht="13.2">
      <c r="E695" s="15"/>
    </row>
    <row r="696" spans="5:5" ht="13.2">
      <c r="E696" s="15"/>
    </row>
    <row r="697" spans="5:5" ht="13.2">
      <c r="E697" s="15"/>
    </row>
    <row r="698" spans="5:5" ht="13.2">
      <c r="E698" s="15"/>
    </row>
    <row r="699" spans="5:5" ht="13.2">
      <c r="E699" s="15"/>
    </row>
    <row r="700" spans="5:5" ht="13.2">
      <c r="E700" s="15"/>
    </row>
    <row r="701" spans="5:5" ht="13.2">
      <c r="E701" s="15"/>
    </row>
    <row r="702" spans="5:5" ht="13.2">
      <c r="E702" s="15"/>
    </row>
    <row r="703" spans="5:5" ht="13.2">
      <c r="E703" s="15"/>
    </row>
    <row r="704" spans="5:5" ht="13.2">
      <c r="E704" s="15"/>
    </row>
    <row r="705" spans="5:5" ht="13.2">
      <c r="E705" s="15"/>
    </row>
    <row r="706" spans="5:5" ht="13.2">
      <c r="E706" s="15"/>
    </row>
    <row r="707" spans="5:5" ht="13.2">
      <c r="E707" s="15"/>
    </row>
    <row r="708" spans="5:5" ht="13.2">
      <c r="E708" s="15"/>
    </row>
    <row r="709" spans="5:5" ht="13.2">
      <c r="E709" s="15"/>
    </row>
    <row r="710" spans="5:5" ht="13.2">
      <c r="E710" s="15"/>
    </row>
    <row r="711" spans="5:5" ht="13.2">
      <c r="E711" s="15"/>
    </row>
    <row r="712" spans="5:5" ht="13.2">
      <c r="E712" s="15"/>
    </row>
    <row r="713" spans="5:5" ht="13.2">
      <c r="E713" s="15"/>
    </row>
    <row r="714" spans="5:5" ht="13.2">
      <c r="E714" s="15"/>
    </row>
    <row r="715" spans="5:5" ht="13.2">
      <c r="E715" s="15"/>
    </row>
    <row r="716" spans="5:5" ht="13.2">
      <c r="E716" s="15"/>
    </row>
    <row r="717" spans="5:5" ht="13.2">
      <c r="E717" s="15"/>
    </row>
    <row r="718" spans="5:5" ht="13.2">
      <c r="E718" s="15"/>
    </row>
    <row r="719" spans="5:5" ht="13.2">
      <c r="E719" s="15"/>
    </row>
    <row r="720" spans="5:5" ht="13.2">
      <c r="E720" s="15"/>
    </row>
    <row r="721" spans="5:5" ht="13.2">
      <c r="E721" s="15"/>
    </row>
    <row r="722" spans="5:5" ht="13.2">
      <c r="E722" s="15"/>
    </row>
    <row r="723" spans="5:5" ht="13.2">
      <c r="E723" s="15"/>
    </row>
    <row r="724" spans="5:5" ht="13.2">
      <c r="E724" s="15"/>
    </row>
    <row r="725" spans="5:5" ht="13.2">
      <c r="E725" s="15"/>
    </row>
    <row r="726" spans="5:5" ht="13.2">
      <c r="E726" s="15"/>
    </row>
    <row r="727" spans="5:5" ht="13.2">
      <c r="E727" s="15"/>
    </row>
    <row r="728" spans="5:5" ht="13.2">
      <c r="E728" s="15"/>
    </row>
    <row r="729" spans="5:5" ht="13.2">
      <c r="E729" s="15"/>
    </row>
    <row r="730" spans="5:5" ht="13.2">
      <c r="E730" s="15"/>
    </row>
    <row r="731" spans="5:5" ht="13.2">
      <c r="E731" s="15"/>
    </row>
    <row r="732" spans="5:5" ht="13.2">
      <c r="E732" s="15"/>
    </row>
    <row r="733" spans="5:5" ht="13.2">
      <c r="E733" s="15"/>
    </row>
    <row r="734" spans="5:5" ht="13.2">
      <c r="E734" s="15"/>
    </row>
    <row r="735" spans="5:5" ht="13.2">
      <c r="E735" s="15"/>
    </row>
    <row r="736" spans="5:5" ht="13.2">
      <c r="E736" s="15"/>
    </row>
    <row r="737" spans="5:5" ht="13.2">
      <c r="E737" s="15"/>
    </row>
    <row r="738" spans="5:5" ht="13.2">
      <c r="E738" s="15"/>
    </row>
    <row r="739" spans="5:5" ht="13.2">
      <c r="E739" s="15"/>
    </row>
    <row r="740" spans="5:5" ht="13.2">
      <c r="E740" s="15"/>
    </row>
    <row r="741" spans="5:5" ht="13.2">
      <c r="E741" s="15"/>
    </row>
    <row r="742" spans="5:5" ht="13.2">
      <c r="E742" s="15"/>
    </row>
    <row r="743" spans="5:5" ht="13.2">
      <c r="E743" s="15"/>
    </row>
    <row r="744" spans="5:5" ht="13.2">
      <c r="E744" s="15"/>
    </row>
    <row r="745" spans="5:5" ht="13.2">
      <c r="E745" s="15"/>
    </row>
    <row r="746" spans="5:5" ht="13.2">
      <c r="E746" s="15"/>
    </row>
    <row r="747" spans="5:5" ht="13.2">
      <c r="E747" s="15"/>
    </row>
    <row r="748" spans="5:5" ht="13.2">
      <c r="E748" s="15"/>
    </row>
    <row r="749" spans="5:5" ht="13.2">
      <c r="E749" s="15"/>
    </row>
    <row r="750" spans="5:5" ht="13.2">
      <c r="E750" s="15"/>
    </row>
    <row r="751" spans="5:5" ht="13.2">
      <c r="E751" s="15"/>
    </row>
    <row r="752" spans="5:5" ht="13.2">
      <c r="E752" s="15"/>
    </row>
    <row r="753" spans="5:5" ht="13.2">
      <c r="E753" s="15"/>
    </row>
    <row r="754" spans="5:5" ht="13.2">
      <c r="E754" s="15"/>
    </row>
    <row r="755" spans="5:5" ht="13.2">
      <c r="E755" s="15"/>
    </row>
    <row r="756" spans="5:5" ht="13.2">
      <c r="E756" s="15"/>
    </row>
    <row r="757" spans="5:5" ht="13.2">
      <c r="E757" s="15"/>
    </row>
    <row r="758" spans="5:5" ht="13.2">
      <c r="E758" s="15"/>
    </row>
    <row r="759" spans="5:5" ht="13.2">
      <c r="E759" s="15"/>
    </row>
    <row r="760" spans="5:5" ht="13.2">
      <c r="E760" s="15"/>
    </row>
    <row r="761" spans="5:5" ht="13.2">
      <c r="E761" s="15"/>
    </row>
    <row r="762" spans="5:5" ht="13.2">
      <c r="E762" s="15"/>
    </row>
    <row r="763" spans="5:5" ht="13.2">
      <c r="E763" s="15"/>
    </row>
    <row r="764" spans="5:5" ht="13.2">
      <c r="E764" s="15"/>
    </row>
    <row r="765" spans="5:5" ht="13.2">
      <c r="E765" s="15"/>
    </row>
    <row r="766" spans="5:5" ht="13.2">
      <c r="E766" s="15"/>
    </row>
    <row r="767" spans="5:5" ht="13.2">
      <c r="E767" s="15"/>
    </row>
    <row r="768" spans="5:5" ht="13.2">
      <c r="E768" s="15"/>
    </row>
    <row r="769" spans="5:5" ht="13.2">
      <c r="E769" s="15"/>
    </row>
    <row r="770" spans="5:5" ht="13.2">
      <c r="E770" s="15"/>
    </row>
    <row r="771" spans="5:5" ht="13.2">
      <c r="E771" s="15"/>
    </row>
    <row r="772" spans="5:5" ht="13.2">
      <c r="E772" s="15"/>
    </row>
    <row r="773" spans="5:5" ht="13.2">
      <c r="E773" s="15"/>
    </row>
    <row r="774" spans="5:5" ht="13.2">
      <c r="E774" s="15"/>
    </row>
    <row r="775" spans="5:5" ht="13.2">
      <c r="E775" s="15"/>
    </row>
    <row r="776" spans="5:5" ht="13.2">
      <c r="E776" s="15"/>
    </row>
    <row r="777" spans="5:5" ht="13.2">
      <c r="E777" s="15"/>
    </row>
    <row r="778" spans="5:5" ht="13.2">
      <c r="E778" s="15"/>
    </row>
    <row r="779" spans="5:5" ht="13.2">
      <c r="E779" s="15"/>
    </row>
    <row r="780" spans="5:5" ht="13.2">
      <c r="E780" s="15"/>
    </row>
    <row r="781" spans="5:5" ht="13.2">
      <c r="E781" s="15"/>
    </row>
    <row r="782" spans="5:5" ht="13.2">
      <c r="E782" s="15"/>
    </row>
    <row r="783" spans="5:5" ht="13.2">
      <c r="E783" s="15"/>
    </row>
    <row r="784" spans="5:5" ht="13.2">
      <c r="E784" s="15"/>
    </row>
    <row r="785" spans="5:5" ht="13.2">
      <c r="E785" s="15"/>
    </row>
    <row r="786" spans="5:5" ht="13.2">
      <c r="E786" s="15"/>
    </row>
    <row r="787" spans="5:5" ht="13.2">
      <c r="E787" s="15"/>
    </row>
    <row r="788" spans="5:5" ht="13.2">
      <c r="E788" s="15"/>
    </row>
    <row r="789" spans="5:5" ht="13.2">
      <c r="E789" s="15"/>
    </row>
    <row r="790" spans="5:5" ht="13.2">
      <c r="E790" s="15"/>
    </row>
    <row r="791" spans="5:5" ht="13.2">
      <c r="E791" s="15"/>
    </row>
    <row r="792" spans="5:5" ht="13.2">
      <c r="E792" s="15"/>
    </row>
    <row r="793" spans="5:5" ht="13.2">
      <c r="E793" s="15"/>
    </row>
    <row r="794" spans="5:5" ht="13.2">
      <c r="E794" s="15"/>
    </row>
    <row r="795" spans="5:5" ht="13.2">
      <c r="E795" s="15"/>
    </row>
    <row r="796" spans="5:5" ht="13.2">
      <c r="E796" s="15"/>
    </row>
    <row r="797" spans="5:5" ht="13.2">
      <c r="E797" s="15"/>
    </row>
    <row r="798" spans="5:5" ht="13.2">
      <c r="E798" s="15"/>
    </row>
    <row r="799" spans="5:5" ht="13.2">
      <c r="E799" s="15"/>
    </row>
    <row r="800" spans="5:5" ht="13.2">
      <c r="E800" s="15"/>
    </row>
    <row r="801" spans="5:5" ht="13.2">
      <c r="E801" s="15"/>
    </row>
    <row r="802" spans="5:5" ht="13.2">
      <c r="E802" s="15"/>
    </row>
    <row r="803" spans="5:5" ht="13.2">
      <c r="E803" s="15"/>
    </row>
    <row r="804" spans="5:5" ht="13.2">
      <c r="E804" s="15"/>
    </row>
    <row r="805" spans="5:5" ht="13.2">
      <c r="E805" s="15"/>
    </row>
    <row r="806" spans="5:5" ht="13.2">
      <c r="E806" s="15"/>
    </row>
    <row r="807" spans="5:5" ht="13.2">
      <c r="E807" s="15"/>
    </row>
    <row r="808" spans="5:5" ht="13.2">
      <c r="E808" s="15"/>
    </row>
    <row r="809" spans="5:5" ht="13.2">
      <c r="E809" s="15"/>
    </row>
    <row r="810" spans="5:5" ht="13.2">
      <c r="E810" s="15"/>
    </row>
    <row r="811" spans="5:5" ht="13.2">
      <c r="E811" s="15"/>
    </row>
    <row r="812" spans="5:5" ht="13.2">
      <c r="E812" s="15"/>
    </row>
    <row r="813" spans="5:5" ht="13.2">
      <c r="E813" s="15"/>
    </row>
    <row r="814" spans="5:5" ht="13.2">
      <c r="E814" s="15"/>
    </row>
    <row r="815" spans="5:5" ht="13.2">
      <c r="E815" s="15"/>
    </row>
    <row r="816" spans="5:5" ht="13.2">
      <c r="E816" s="15"/>
    </row>
    <row r="817" spans="5:5" ht="13.2">
      <c r="E817" s="15"/>
    </row>
    <row r="818" spans="5:5" ht="13.2">
      <c r="E818" s="15"/>
    </row>
    <row r="819" spans="5:5" ht="13.2">
      <c r="E819" s="15"/>
    </row>
    <row r="820" spans="5:5" ht="13.2">
      <c r="E820" s="15"/>
    </row>
    <row r="821" spans="5:5" ht="13.2">
      <c r="E821" s="15"/>
    </row>
    <row r="822" spans="5:5" ht="13.2">
      <c r="E822" s="15"/>
    </row>
    <row r="823" spans="5:5" ht="13.2">
      <c r="E823" s="15"/>
    </row>
    <row r="824" spans="5:5" ht="13.2">
      <c r="E824" s="15"/>
    </row>
    <row r="825" spans="5:5" ht="13.2">
      <c r="E825" s="15"/>
    </row>
    <row r="826" spans="5:5" ht="13.2">
      <c r="E826" s="15"/>
    </row>
    <row r="827" spans="5:5" ht="13.2">
      <c r="E827" s="15"/>
    </row>
    <row r="828" spans="5:5" ht="13.2">
      <c r="E828" s="15"/>
    </row>
    <row r="829" spans="5:5" ht="13.2">
      <c r="E829" s="15"/>
    </row>
    <row r="830" spans="5:5" ht="13.2">
      <c r="E830" s="15"/>
    </row>
    <row r="831" spans="5:5" ht="13.2">
      <c r="E831" s="15"/>
    </row>
    <row r="832" spans="5:5" ht="13.2">
      <c r="E832" s="15"/>
    </row>
    <row r="833" spans="5:5" ht="13.2">
      <c r="E833" s="15"/>
    </row>
    <row r="834" spans="5:5" ht="13.2">
      <c r="E834" s="15"/>
    </row>
    <row r="835" spans="5:5" ht="13.2">
      <c r="E835" s="15"/>
    </row>
    <row r="836" spans="5:5" ht="13.2">
      <c r="E836" s="15"/>
    </row>
    <row r="837" spans="5:5" ht="13.2">
      <c r="E837" s="15"/>
    </row>
    <row r="838" spans="5:5" ht="13.2">
      <c r="E838" s="15"/>
    </row>
    <row r="839" spans="5:5" ht="13.2">
      <c r="E839" s="15"/>
    </row>
    <row r="840" spans="5:5" ht="13.2">
      <c r="E840" s="15"/>
    </row>
    <row r="841" spans="5:5" ht="13.2">
      <c r="E841" s="15"/>
    </row>
    <row r="842" spans="5:5" ht="13.2">
      <c r="E842" s="15"/>
    </row>
    <row r="843" spans="5:5" ht="13.2">
      <c r="E843" s="15"/>
    </row>
    <row r="844" spans="5:5" ht="13.2">
      <c r="E844" s="15"/>
    </row>
    <row r="845" spans="5:5" ht="13.2">
      <c r="E845" s="15"/>
    </row>
    <row r="846" spans="5:5" ht="13.2">
      <c r="E846" s="15"/>
    </row>
    <row r="847" spans="5:5" ht="13.2">
      <c r="E847" s="15"/>
    </row>
    <row r="848" spans="5:5" ht="13.2">
      <c r="E848" s="15"/>
    </row>
    <row r="849" spans="5:5" ht="13.2">
      <c r="E849" s="15"/>
    </row>
    <row r="850" spans="5:5" ht="13.2">
      <c r="E850" s="15"/>
    </row>
    <row r="851" spans="5:5" ht="13.2">
      <c r="E851" s="15"/>
    </row>
    <row r="852" spans="5:5" ht="13.2">
      <c r="E852" s="15"/>
    </row>
    <row r="853" spans="5:5" ht="13.2">
      <c r="E853" s="15"/>
    </row>
    <row r="854" spans="5:5" ht="13.2">
      <c r="E854" s="15"/>
    </row>
    <row r="855" spans="5:5" ht="13.2">
      <c r="E855" s="15"/>
    </row>
    <row r="856" spans="5:5" ht="13.2">
      <c r="E856" s="15"/>
    </row>
    <row r="857" spans="5:5" ht="13.2">
      <c r="E857" s="15"/>
    </row>
    <row r="858" spans="5:5" ht="13.2">
      <c r="E858" s="15"/>
    </row>
    <row r="859" spans="5:5" ht="13.2">
      <c r="E859" s="15"/>
    </row>
    <row r="860" spans="5:5" ht="13.2">
      <c r="E860" s="15"/>
    </row>
    <row r="861" spans="5:5" ht="13.2">
      <c r="E861" s="15"/>
    </row>
    <row r="862" spans="5:5" ht="13.2">
      <c r="E862" s="15"/>
    </row>
    <row r="863" spans="5:5" ht="13.2">
      <c r="E863" s="15"/>
    </row>
    <row r="864" spans="5:5" ht="13.2">
      <c r="E864" s="15"/>
    </row>
    <row r="865" spans="5:5" ht="13.2">
      <c r="E865" s="15"/>
    </row>
    <row r="866" spans="5:5" ht="13.2">
      <c r="E866" s="15"/>
    </row>
    <row r="867" spans="5:5" ht="13.2">
      <c r="E867" s="15"/>
    </row>
    <row r="868" spans="5:5" ht="13.2">
      <c r="E868" s="15"/>
    </row>
    <row r="869" spans="5:5" ht="13.2">
      <c r="E869" s="15"/>
    </row>
    <row r="870" spans="5:5" ht="13.2">
      <c r="E870" s="15"/>
    </row>
    <row r="871" spans="5:5" ht="13.2">
      <c r="E871" s="15"/>
    </row>
    <row r="872" spans="5:5" ht="13.2">
      <c r="E872" s="15"/>
    </row>
    <row r="873" spans="5:5" ht="13.2">
      <c r="E873" s="15"/>
    </row>
    <row r="874" spans="5:5" ht="13.2">
      <c r="E874" s="15"/>
    </row>
    <row r="875" spans="5:5" ht="13.2">
      <c r="E875" s="15"/>
    </row>
    <row r="876" spans="5:5" ht="13.2">
      <c r="E876" s="15"/>
    </row>
    <row r="877" spans="5:5" ht="13.2">
      <c r="E877" s="15"/>
    </row>
    <row r="878" spans="5:5" ht="13.2">
      <c r="E878" s="15"/>
    </row>
    <row r="879" spans="5:5" ht="13.2">
      <c r="E879" s="15"/>
    </row>
    <row r="880" spans="5:5" ht="13.2">
      <c r="E880" s="15"/>
    </row>
    <row r="881" spans="5:5" ht="13.2">
      <c r="E881" s="15"/>
    </row>
    <row r="882" spans="5:5" ht="13.2">
      <c r="E882" s="15"/>
    </row>
    <row r="883" spans="5:5" ht="13.2">
      <c r="E883" s="15"/>
    </row>
    <row r="884" spans="5:5" ht="13.2">
      <c r="E884" s="15"/>
    </row>
    <row r="885" spans="5:5" ht="13.2">
      <c r="E885" s="15"/>
    </row>
    <row r="886" spans="5:5" ht="13.2">
      <c r="E886" s="15"/>
    </row>
    <row r="887" spans="5:5" ht="13.2">
      <c r="E887" s="15"/>
    </row>
    <row r="888" spans="5:5" ht="13.2">
      <c r="E888" s="15"/>
    </row>
    <row r="889" spans="5:5" ht="13.2">
      <c r="E889" s="15"/>
    </row>
    <row r="890" spans="5:5" ht="13.2">
      <c r="E890" s="15"/>
    </row>
    <row r="891" spans="5:5" ht="13.2">
      <c r="E891" s="15"/>
    </row>
    <row r="892" spans="5:5" ht="13.2">
      <c r="E892" s="15"/>
    </row>
    <row r="893" spans="5:5" ht="13.2">
      <c r="E893" s="15"/>
    </row>
    <row r="894" spans="5:5" ht="13.2">
      <c r="E894" s="15"/>
    </row>
    <row r="895" spans="5:5" ht="13.2">
      <c r="E895" s="15"/>
    </row>
    <row r="896" spans="5:5" ht="13.2">
      <c r="E896" s="15"/>
    </row>
    <row r="897" spans="5:5" ht="13.2">
      <c r="E897" s="15"/>
    </row>
    <row r="898" spans="5:5" ht="13.2">
      <c r="E898" s="15"/>
    </row>
    <row r="899" spans="5:5" ht="13.2">
      <c r="E899" s="15"/>
    </row>
    <row r="900" spans="5:5" ht="13.2">
      <c r="E900" s="15"/>
    </row>
    <row r="901" spans="5:5" ht="13.2">
      <c r="E901" s="15"/>
    </row>
    <row r="902" spans="5:5" ht="13.2">
      <c r="E902" s="15"/>
    </row>
    <row r="903" spans="5:5" ht="13.2">
      <c r="E903" s="15"/>
    </row>
    <row r="904" spans="5:5" ht="13.2">
      <c r="E904" s="15"/>
    </row>
    <row r="905" spans="5:5" ht="13.2">
      <c r="E905" s="15"/>
    </row>
    <row r="906" spans="5:5" ht="13.2">
      <c r="E906" s="15"/>
    </row>
    <row r="907" spans="5:5" ht="13.2">
      <c r="E907" s="15"/>
    </row>
    <row r="908" spans="5:5" ht="13.2">
      <c r="E908" s="15"/>
    </row>
    <row r="909" spans="5:5" ht="13.2">
      <c r="E909" s="15"/>
    </row>
    <row r="910" spans="5:5" ht="13.2">
      <c r="E910" s="15"/>
    </row>
    <row r="911" spans="5:5" ht="13.2">
      <c r="E911" s="15"/>
    </row>
    <row r="912" spans="5:5" ht="13.2">
      <c r="E912" s="15"/>
    </row>
    <row r="913" spans="5:5" ht="13.2">
      <c r="E913" s="15"/>
    </row>
    <row r="914" spans="5:5" ht="13.2">
      <c r="E914" s="15"/>
    </row>
    <row r="915" spans="5:5" ht="13.2">
      <c r="E915" s="15"/>
    </row>
    <row r="916" spans="5:5" ht="13.2">
      <c r="E916" s="15"/>
    </row>
    <row r="917" spans="5:5" ht="13.2">
      <c r="E917" s="15"/>
    </row>
    <row r="918" spans="5:5" ht="13.2">
      <c r="E918" s="15"/>
    </row>
    <row r="919" spans="5:5" ht="13.2">
      <c r="E919" s="15"/>
    </row>
    <row r="920" spans="5:5" ht="13.2">
      <c r="E920" s="15"/>
    </row>
    <row r="921" spans="5:5" ht="13.2">
      <c r="E921" s="15"/>
    </row>
    <row r="922" spans="5:5" ht="13.2">
      <c r="E922" s="15"/>
    </row>
    <row r="923" spans="5:5" ht="13.2">
      <c r="E923" s="15"/>
    </row>
    <row r="924" spans="5:5" ht="13.2">
      <c r="E924" s="15"/>
    </row>
    <row r="925" spans="5:5" ht="13.2">
      <c r="E925" s="15"/>
    </row>
    <row r="926" spans="5:5" ht="13.2">
      <c r="E926" s="15"/>
    </row>
    <row r="927" spans="5:5" ht="13.2">
      <c r="E927" s="15"/>
    </row>
    <row r="928" spans="5:5" ht="13.2">
      <c r="E928" s="15"/>
    </row>
    <row r="929" spans="5:5" ht="13.2">
      <c r="E929" s="15"/>
    </row>
    <row r="930" spans="5:5" ht="13.2">
      <c r="E930" s="15"/>
    </row>
    <row r="931" spans="5:5" ht="13.2">
      <c r="E931" s="15"/>
    </row>
    <row r="932" spans="5:5" ht="13.2">
      <c r="E932" s="15"/>
    </row>
    <row r="933" spans="5:5" ht="13.2">
      <c r="E933" s="15"/>
    </row>
    <row r="934" spans="5:5" ht="13.2">
      <c r="E934" s="15"/>
    </row>
    <row r="935" spans="5:5" ht="13.2">
      <c r="E935" s="15"/>
    </row>
    <row r="936" spans="5:5" ht="13.2">
      <c r="E936" s="15"/>
    </row>
    <row r="937" spans="5:5" ht="13.2">
      <c r="E937" s="15"/>
    </row>
    <row r="938" spans="5:5" ht="13.2">
      <c r="E938" s="15"/>
    </row>
    <row r="939" spans="5:5" ht="13.2">
      <c r="E939" s="15"/>
    </row>
    <row r="940" spans="5:5" ht="13.2">
      <c r="E940" s="15"/>
    </row>
    <row r="941" spans="5:5" ht="13.2">
      <c r="E941" s="15"/>
    </row>
    <row r="942" spans="5:5" ht="13.2">
      <c r="E942" s="15"/>
    </row>
    <row r="943" spans="5:5" ht="13.2">
      <c r="E943" s="15"/>
    </row>
    <row r="944" spans="5:5" ht="13.2">
      <c r="E944" s="15"/>
    </row>
  </sheetData>
  <autoFilter ref="A1:K944" xr:uid="{00000000-0009-0000-0000-000003000000}"/>
  <customSheetViews>
    <customSheetView guid="{EF148ED1-C6B3-40DE-9364-C88A1560EDDB}" filter="1" showAutoFilter="1">
      <pageMargins left="0.7" right="0.7" top="0.75" bottom="0.75" header="0.3" footer="0.3"/>
      <autoFilter ref="A1:K944" xr:uid="{00000000-0000-0000-0000-000000000000}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G11"/>
  <sheetViews>
    <sheetView workbookViewId="0"/>
  </sheetViews>
  <sheetFormatPr defaultColWidth="14.44140625" defaultRowHeight="15.75" customHeight="1"/>
  <cols>
    <col min="1" max="1" width="39.44140625" customWidth="1"/>
    <col min="2" max="2" width="21.88671875" customWidth="1"/>
    <col min="5" max="5" width="36.88671875" customWidth="1"/>
  </cols>
  <sheetData>
    <row r="1" spans="1:7" ht="15.75" customHeight="1">
      <c r="A1" s="13" t="s">
        <v>243</v>
      </c>
      <c r="B1" s="13" t="s">
        <v>5</v>
      </c>
      <c r="C1" s="13" t="s">
        <v>69</v>
      </c>
      <c r="D1" s="13" t="s">
        <v>70</v>
      </c>
      <c r="E1" s="13" t="s">
        <v>73</v>
      </c>
    </row>
    <row r="2" spans="1:7" ht="15.75" customHeight="1">
      <c r="A2" s="10" t="str">
        <f>HYPERLINK("http://www.coloradogators.com/","Colorado Gator Farm")</f>
        <v>Colorado Gator Farm</v>
      </c>
      <c r="B2" s="3" t="s">
        <v>101</v>
      </c>
      <c r="C2" s="3">
        <v>3.5</v>
      </c>
      <c r="D2" s="3">
        <v>4</v>
      </c>
      <c r="E2" s="3" t="s">
        <v>246</v>
      </c>
    </row>
    <row r="3" spans="1:7" ht="15.75" customHeight="1">
      <c r="A3" s="10" t="str">
        <f>HYPERLINK("http://hotsulphursprings.com/","Sulpher Springs")</f>
        <v>Sulpher Springs</v>
      </c>
      <c r="B3" s="3" t="s">
        <v>247</v>
      </c>
      <c r="C3" s="3">
        <v>2</v>
      </c>
      <c r="D3" s="3">
        <v>4</v>
      </c>
      <c r="E3" s="3" t="s">
        <v>248</v>
      </c>
    </row>
    <row r="4" spans="1:7" ht="15.75" customHeight="1">
      <c r="A4" s="10" t="str">
        <f>HYPERLINK("http://www.cmzoo.org/","Cheyenne Mountain Zoo")</f>
        <v>Cheyenne Mountain Zoo</v>
      </c>
      <c r="B4" s="3" t="s">
        <v>249</v>
      </c>
      <c r="C4" s="3">
        <v>1.25</v>
      </c>
      <c r="D4" s="3">
        <v>3</v>
      </c>
      <c r="E4" s="3" t="s">
        <v>250</v>
      </c>
    </row>
    <row r="5" spans="1:7" ht="15.75" customHeight="1">
      <c r="A5" s="10" t="str">
        <f>HYPERLINK("https://www.alltrails.com/explore/trail/us/colorado/paradise-cove-swimming-hole-trail","Guffey's Paradise Cove")</f>
        <v>Guffey's Paradise Cove</v>
      </c>
      <c r="B5" s="3" t="s">
        <v>255</v>
      </c>
      <c r="C5" s="3">
        <v>2</v>
      </c>
      <c r="D5" s="3">
        <v>5</v>
      </c>
      <c r="E5" s="3" t="s">
        <v>256</v>
      </c>
    </row>
    <row r="6" spans="1:7" ht="15.75" customHeight="1">
      <c r="A6" s="10" t="str">
        <f>HYPERLINK("https://www.theoutbound.com/colorado/hiking/hike-and-swim-at-devil-s-punchbowl","Devil's Punchbowl")</f>
        <v>Devil's Punchbowl</v>
      </c>
      <c r="B6" s="3" t="s">
        <v>257</v>
      </c>
      <c r="C6" s="3">
        <v>3</v>
      </c>
      <c r="D6" s="3">
        <v>4</v>
      </c>
      <c r="E6" s="3" t="s">
        <v>256</v>
      </c>
    </row>
    <row r="7" spans="1:7" ht="15.75" customHeight="1">
      <c r="A7" s="10" t="str">
        <f>HYPERLINK("https://www.alltrails.com/explore/us/colorado/montrose?ar[]=10151915","Black Canyon of the Gunnison")</f>
        <v>Black Canyon of the Gunnison</v>
      </c>
      <c r="B7" s="3" t="s">
        <v>258</v>
      </c>
      <c r="C7" s="3">
        <v>4.75</v>
      </c>
      <c r="D7" s="3">
        <v>5</v>
      </c>
      <c r="E7" s="3" t="s">
        <v>259</v>
      </c>
    </row>
    <row r="8" spans="1:7" ht="15.75" customHeight="1">
      <c r="A8" s="10" t="str">
        <f>HYPERLINK("http://www.dspprr.com/","Denver South Park &amp; Pacifice Railroad")</f>
        <v>Denver South Park &amp; Pacifice Railroad</v>
      </c>
      <c r="B8" s="3" t="s">
        <v>260</v>
      </c>
      <c r="C8" s="3" t="s">
        <v>261</v>
      </c>
      <c r="D8" s="3">
        <v>5</v>
      </c>
      <c r="E8" s="3" t="s">
        <v>262</v>
      </c>
      <c r="F8" s="12"/>
      <c r="G8" s="12"/>
    </row>
    <row r="9" spans="1:7" ht="15.75" customHeight="1">
      <c r="A9" s="3" t="s">
        <v>263</v>
      </c>
      <c r="B9" s="3" t="s">
        <v>264</v>
      </c>
      <c r="C9" s="3">
        <v>0.75</v>
      </c>
      <c r="D9" s="3">
        <v>5</v>
      </c>
    </row>
    <row r="10" spans="1:7" ht="15.75" customHeight="1">
      <c r="A10" s="3" t="s">
        <v>265</v>
      </c>
      <c r="B10" s="3" t="s">
        <v>266</v>
      </c>
      <c r="C10" s="3">
        <v>7</v>
      </c>
      <c r="D10" s="3">
        <v>5</v>
      </c>
    </row>
    <row r="11" spans="1:7" ht="15.75" customHeight="1">
      <c r="A11" s="3" t="s">
        <v>267</v>
      </c>
      <c r="B11" s="3" t="s">
        <v>266</v>
      </c>
      <c r="C11" s="3">
        <v>7</v>
      </c>
      <c r="D11" s="3">
        <v>5</v>
      </c>
    </row>
  </sheetData>
  <autoFilter ref="A1:E999" xr:uid="{00000000-0009-0000-0000-000004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outlinePr summaryBelow="0" summaryRight="0"/>
  </sheetPr>
  <dimension ref="A1:G839"/>
  <sheetViews>
    <sheetView workbookViewId="0">
      <pane ySplit="1" topLeftCell="A2" activePane="bottomLeft" state="frozen"/>
      <selection pane="bottomLeft" activeCell="B3" sqref="B3"/>
    </sheetView>
  </sheetViews>
  <sheetFormatPr defaultColWidth="14.44140625" defaultRowHeight="15.75" customHeight="1"/>
  <cols>
    <col min="3" max="3" width="29.44140625" customWidth="1"/>
    <col min="7" max="7" width="21.33203125" customWidth="1"/>
  </cols>
  <sheetData>
    <row r="1" spans="1:7" ht="13.2">
      <c r="A1" s="2" t="s">
        <v>0</v>
      </c>
      <c r="B1" s="2" t="s">
        <v>268</v>
      </c>
      <c r="C1" s="2" t="s">
        <v>269</v>
      </c>
      <c r="D1" s="2" t="s">
        <v>270</v>
      </c>
      <c r="E1" s="2" t="s">
        <v>271</v>
      </c>
      <c r="F1" s="2" t="s">
        <v>70</v>
      </c>
      <c r="G1" s="2" t="s">
        <v>272</v>
      </c>
    </row>
    <row r="2" spans="1:7" ht="14.4">
      <c r="A2" s="21"/>
      <c r="B2" s="22">
        <v>52</v>
      </c>
      <c r="C2" s="21" t="s">
        <v>273</v>
      </c>
      <c r="D2" s="21">
        <v>14</v>
      </c>
      <c r="E2" s="23">
        <v>14003</v>
      </c>
      <c r="F2" s="3">
        <v>5</v>
      </c>
      <c r="G2" s="21" t="s">
        <v>274</v>
      </c>
    </row>
    <row r="3" spans="1:7" ht="14.4">
      <c r="A3" s="21"/>
      <c r="B3" s="22">
        <v>10</v>
      </c>
      <c r="C3" s="21" t="s">
        <v>275</v>
      </c>
      <c r="D3" s="21">
        <v>14</v>
      </c>
      <c r="E3" s="23">
        <v>14269</v>
      </c>
      <c r="F3" s="3">
        <v>5</v>
      </c>
      <c r="G3" s="24" t="s">
        <v>274</v>
      </c>
    </row>
    <row r="4" spans="1:7" ht="14.4">
      <c r="A4" s="21"/>
      <c r="B4" s="22">
        <v>35</v>
      </c>
      <c r="C4" s="21" t="s">
        <v>276</v>
      </c>
      <c r="D4" s="21">
        <v>14</v>
      </c>
      <c r="E4" s="23">
        <v>14073</v>
      </c>
      <c r="F4" s="3">
        <v>5</v>
      </c>
      <c r="G4" s="21" t="s">
        <v>274</v>
      </c>
    </row>
    <row r="5" spans="1:7" ht="14.4">
      <c r="A5" s="21"/>
      <c r="B5" s="22">
        <v>51</v>
      </c>
      <c r="C5" s="21" t="s">
        <v>277</v>
      </c>
      <c r="D5" s="21">
        <v>14</v>
      </c>
      <c r="E5" s="23">
        <v>14005</v>
      </c>
      <c r="F5" s="3">
        <v>5</v>
      </c>
      <c r="G5" s="21" t="s">
        <v>274</v>
      </c>
    </row>
    <row r="6" spans="1:7" ht="14.4" hidden="1">
      <c r="A6" s="21"/>
      <c r="B6" s="21" t="s">
        <v>278</v>
      </c>
      <c r="C6" s="21" t="s">
        <v>279</v>
      </c>
      <c r="D6" s="21">
        <v>14</v>
      </c>
      <c r="E6" s="23">
        <v>14340</v>
      </c>
      <c r="G6" s="21" t="s">
        <v>274</v>
      </c>
    </row>
    <row r="7" spans="1:7" ht="14.4">
      <c r="A7" s="21"/>
      <c r="B7" s="22">
        <v>20</v>
      </c>
      <c r="C7" s="21" t="s">
        <v>280</v>
      </c>
      <c r="D7" s="21">
        <v>14</v>
      </c>
      <c r="E7" s="23">
        <v>14197</v>
      </c>
      <c r="F7" s="3">
        <v>5</v>
      </c>
      <c r="G7" s="21" t="s">
        <v>274</v>
      </c>
    </row>
    <row r="8" spans="1:7" ht="14.4">
      <c r="A8" s="21"/>
      <c r="B8" s="22">
        <v>4</v>
      </c>
      <c r="C8" s="21" t="s">
        <v>281</v>
      </c>
      <c r="D8" s="21">
        <v>14</v>
      </c>
      <c r="E8" s="23">
        <v>14345</v>
      </c>
      <c r="G8" s="21" t="s">
        <v>282</v>
      </c>
    </row>
    <row r="9" spans="1:7" ht="14.4" hidden="1">
      <c r="A9" s="21"/>
      <c r="B9" s="21" t="s">
        <v>278</v>
      </c>
      <c r="C9" s="21" t="s">
        <v>283</v>
      </c>
      <c r="D9" s="21">
        <v>14</v>
      </c>
      <c r="E9" s="23">
        <v>14300</v>
      </c>
      <c r="G9" s="21" t="s">
        <v>274</v>
      </c>
    </row>
    <row r="10" spans="1:7" ht="14.4">
      <c r="A10" s="21"/>
      <c r="B10" s="22">
        <v>34</v>
      </c>
      <c r="C10" s="21" t="s">
        <v>284</v>
      </c>
      <c r="D10" s="21">
        <v>14</v>
      </c>
      <c r="E10" s="23">
        <v>14081</v>
      </c>
      <c r="G10" s="21" t="s">
        <v>282</v>
      </c>
    </row>
    <row r="11" spans="1:7" ht="14.4">
      <c r="A11" s="21"/>
      <c r="B11" s="22">
        <v>19</v>
      </c>
      <c r="C11" s="21" t="s">
        <v>285</v>
      </c>
      <c r="D11" s="21">
        <v>14</v>
      </c>
      <c r="E11" s="23">
        <v>14197</v>
      </c>
      <c r="G11" s="21" t="s">
        <v>282</v>
      </c>
    </row>
    <row r="12" spans="1:7" ht="14.4" hidden="1">
      <c r="A12" s="25">
        <v>42626</v>
      </c>
      <c r="B12" s="22">
        <v>9</v>
      </c>
      <c r="C12" s="21" t="s">
        <v>286</v>
      </c>
      <c r="D12" s="21">
        <v>14</v>
      </c>
      <c r="E12" s="23">
        <v>14270</v>
      </c>
      <c r="G12" s="21" t="s">
        <v>287</v>
      </c>
    </row>
    <row r="13" spans="1:7" ht="14.4">
      <c r="A13" s="21"/>
      <c r="B13" s="22">
        <v>7</v>
      </c>
      <c r="C13" s="21" t="s">
        <v>288</v>
      </c>
      <c r="D13" s="21">
        <v>14</v>
      </c>
      <c r="E13" s="23">
        <v>14294</v>
      </c>
      <c r="G13" s="21" t="s">
        <v>282</v>
      </c>
    </row>
    <row r="14" spans="1:7" ht="14.4">
      <c r="A14" s="21"/>
      <c r="B14" s="22">
        <v>41</v>
      </c>
      <c r="C14" s="21" t="s">
        <v>289</v>
      </c>
      <c r="D14" s="21">
        <v>14</v>
      </c>
      <c r="E14" s="23">
        <v>14047</v>
      </c>
      <c r="G14" s="21" t="s">
        <v>282</v>
      </c>
    </row>
    <row r="15" spans="1:7" ht="14.4">
      <c r="A15" s="21"/>
      <c r="B15" s="22">
        <v>42</v>
      </c>
      <c r="C15" s="21" t="s">
        <v>290</v>
      </c>
      <c r="D15" s="21">
        <v>14</v>
      </c>
      <c r="E15" s="23">
        <v>14042</v>
      </c>
      <c r="G15" s="21" t="s">
        <v>282</v>
      </c>
    </row>
    <row r="16" spans="1:7" ht="14.4">
      <c r="A16" s="21"/>
      <c r="B16" s="22">
        <v>37</v>
      </c>
      <c r="C16" s="21" t="s">
        <v>291</v>
      </c>
      <c r="D16" s="21">
        <v>14</v>
      </c>
      <c r="E16" s="23">
        <v>14064</v>
      </c>
      <c r="G16" s="21" t="s">
        <v>282</v>
      </c>
    </row>
    <row r="17" spans="1:7" ht="14.4" hidden="1">
      <c r="A17" s="25">
        <v>43283</v>
      </c>
      <c r="B17" s="22">
        <v>5</v>
      </c>
      <c r="C17" s="21" t="s">
        <v>292</v>
      </c>
      <c r="D17" s="21">
        <v>14</v>
      </c>
      <c r="E17" s="23">
        <v>14336</v>
      </c>
      <c r="G17" s="21" t="s">
        <v>274</v>
      </c>
    </row>
    <row r="18" spans="1:7" ht="14.4" hidden="1">
      <c r="A18" s="21"/>
      <c r="B18" s="21" t="s">
        <v>278</v>
      </c>
      <c r="C18" s="21" t="s">
        <v>293</v>
      </c>
      <c r="D18" s="21">
        <v>14</v>
      </c>
      <c r="E18" s="23">
        <v>14260</v>
      </c>
      <c r="G18" s="21" t="s">
        <v>282</v>
      </c>
    </row>
    <row r="19" spans="1:7" ht="14.4" hidden="1">
      <c r="A19" s="21"/>
      <c r="B19" s="21" t="s">
        <v>278</v>
      </c>
      <c r="C19" s="21" t="s">
        <v>294</v>
      </c>
      <c r="D19" s="21">
        <v>14</v>
      </c>
      <c r="E19" s="23">
        <v>14260</v>
      </c>
      <c r="G19" s="21" t="s">
        <v>282</v>
      </c>
    </row>
    <row r="20" spans="1:7" ht="14.4" hidden="1">
      <c r="A20" s="21"/>
      <c r="B20" s="21" t="s">
        <v>278</v>
      </c>
      <c r="C20" s="21" t="s">
        <v>295</v>
      </c>
      <c r="D20" s="21">
        <v>14</v>
      </c>
      <c r="E20" s="23">
        <v>14256</v>
      </c>
      <c r="G20" s="21" t="s">
        <v>287</v>
      </c>
    </row>
    <row r="21" spans="1:7" ht="14.4">
      <c r="A21" s="21"/>
      <c r="B21" s="22">
        <v>23</v>
      </c>
      <c r="C21" s="21" t="s">
        <v>296</v>
      </c>
      <c r="D21" s="21">
        <v>14</v>
      </c>
      <c r="E21" s="23">
        <v>14165</v>
      </c>
      <c r="G21" s="21" t="s">
        <v>282</v>
      </c>
    </row>
    <row r="22" spans="1:7" ht="14.4" hidden="1">
      <c r="A22" s="25">
        <v>40447</v>
      </c>
      <c r="B22" s="22">
        <v>15</v>
      </c>
      <c r="C22" s="21" t="s">
        <v>297</v>
      </c>
      <c r="D22" s="21">
        <v>14</v>
      </c>
      <c r="E22" s="23">
        <v>14255</v>
      </c>
      <c r="G22" s="21" t="s">
        <v>287</v>
      </c>
    </row>
    <row r="23" spans="1:7" ht="14.4" hidden="1">
      <c r="A23" s="25">
        <v>43365</v>
      </c>
      <c r="B23" s="21" t="s">
        <v>298</v>
      </c>
      <c r="C23" s="21" t="s">
        <v>299</v>
      </c>
      <c r="D23" s="21">
        <v>14</v>
      </c>
      <c r="E23" s="23">
        <v>14238</v>
      </c>
      <c r="G23" s="21" t="s">
        <v>300</v>
      </c>
    </row>
    <row r="24" spans="1:7" ht="14.4">
      <c r="A24" s="21"/>
      <c r="B24" s="22">
        <v>44</v>
      </c>
      <c r="C24" s="21" t="s">
        <v>301</v>
      </c>
      <c r="D24" s="21">
        <v>14</v>
      </c>
      <c r="E24" s="23">
        <v>14037</v>
      </c>
      <c r="G24" s="21" t="s">
        <v>282</v>
      </c>
    </row>
    <row r="25" spans="1:7" ht="14.4" hidden="1">
      <c r="A25" s="25">
        <v>43344</v>
      </c>
      <c r="B25" s="22">
        <v>36</v>
      </c>
      <c r="C25" s="21" t="s">
        <v>302</v>
      </c>
      <c r="D25" s="21">
        <v>14</v>
      </c>
      <c r="E25" s="23">
        <v>14067</v>
      </c>
      <c r="G25" s="21" t="s">
        <v>274</v>
      </c>
    </row>
    <row r="26" spans="1:7" ht="14.4">
      <c r="A26" s="21"/>
      <c r="B26" s="22">
        <v>43</v>
      </c>
      <c r="C26" s="21" t="s">
        <v>303</v>
      </c>
      <c r="D26" s="21">
        <v>14</v>
      </c>
      <c r="E26" s="23">
        <v>14042</v>
      </c>
      <c r="G26" s="21" t="s">
        <v>282</v>
      </c>
    </row>
    <row r="27" spans="1:7" ht="14.4" hidden="1">
      <c r="A27" s="25">
        <v>41122</v>
      </c>
      <c r="B27" s="22">
        <v>18</v>
      </c>
      <c r="C27" s="21" t="s">
        <v>304</v>
      </c>
      <c r="D27" s="21">
        <v>14</v>
      </c>
      <c r="E27" s="23">
        <v>14197</v>
      </c>
      <c r="G27" s="21" t="s">
        <v>274</v>
      </c>
    </row>
    <row r="28" spans="1:7" ht="14.4" hidden="1">
      <c r="A28" s="25">
        <v>41818</v>
      </c>
      <c r="B28" s="22">
        <v>38</v>
      </c>
      <c r="C28" s="21" t="s">
        <v>305</v>
      </c>
      <c r="D28" s="21">
        <v>14</v>
      </c>
      <c r="E28" s="23">
        <v>14060</v>
      </c>
      <c r="G28" s="21" t="s">
        <v>287</v>
      </c>
    </row>
    <row r="29" spans="1:7" ht="14.4" hidden="1">
      <c r="A29" s="21"/>
      <c r="B29" s="21" t="s">
        <v>278</v>
      </c>
      <c r="C29" s="21" t="s">
        <v>306</v>
      </c>
      <c r="D29" s="21">
        <v>14</v>
      </c>
      <c r="E29" s="23">
        <v>14180</v>
      </c>
      <c r="G29" s="21" t="s">
        <v>274</v>
      </c>
    </row>
    <row r="30" spans="1:7" ht="14.4" hidden="1">
      <c r="A30" s="25">
        <v>43365</v>
      </c>
      <c r="B30" s="22">
        <v>22</v>
      </c>
      <c r="C30" s="21" t="s">
        <v>308</v>
      </c>
      <c r="D30" s="21">
        <v>14</v>
      </c>
      <c r="E30" s="23">
        <v>14172</v>
      </c>
      <c r="G30" s="21" t="s">
        <v>300</v>
      </c>
    </row>
    <row r="31" spans="1:7" ht="14.4">
      <c r="A31" s="21"/>
      <c r="B31" s="22">
        <v>40</v>
      </c>
      <c r="C31" s="21" t="s">
        <v>309</v>
      </c>
      <c r="D31" s="21">
        <v>14</v>
      </c>
      <c r="E31" s="23">
        <v>14048</v>
      </c>
      <c r="G31" s="21" t="s">
        <v>310</v>
      </c>
    </row>
    <row r="32" spans="1:7" ht="14.4" hidden="1">
      <c r="A32" s="21"/>
      <c r="B32" s="21" t="s">
        <v>298</v>
      </c>
      <c r="C32" s="21" t="s">
        <v>311</v>
      </c>
      <c r="D32" s="21">
        <v>14</v>
      </c>
      <c r="E32" s="23">
        <v>14159</v>
      </c>
      <c r="G32" s="21" t="s">
        <v>310</v>
      </c>
    </row>
    <row r="33" spans="1:7" ht="14.4" hidden="1">
      <c r="A33" s="25">
        <v>43365</v>
      </c>
      <c r="B33" s="22">
        <v>28</v>
      </c>
      <c r="C33" s="21" t="s">
        <v>312</v>
      </c>
      <c r="D33" s="21">
        <v>14</v>
      </c>
      <c r="E33" s="23">
        <v>14148</v>
      </c>
      <c r="G33" s="21" t="s">
        <v>300</v>
      </c>
    </row>
    <row r="34" spans="1:7" ht="14.4" hidden="1">
      <c r="A34" s="25">
        <v>39264</v>
      </c>
      <c r="B34" s="22">
        <v>1</v>
      </c>
      <c r="C34" s="21" t="s">
        <v>313</v>
      </c>
      <c r="D34" s="21">
        <v>14</v>
      </c>
      <c r="E34" s="23">
        <v>14433</v>
      </c>
      <c r="G34" s="21" t="s">
        <v>274</v>
      </c>
    </row>
    <row r="35" spans="1:7" ht="14.4">
      <c r="A35" s="21"/>
      <c r="B35" s="22">
        <v>32</v>
      </c>
      <c r="C35" s="21" t="s">
        <v>314</v>
      </c>
      <c r="D35" s="21">
        <v>14</v>
      </c>
      <c r="E35" s="23">
        <v>14083</v>
      </c>
      <c r="G35" s="21" t="s">
        <v>310</v>
      </c>
    </row>
    <row r="36" spans="1:7" ht="14.4" hidden="1">
      <c r="A36" s="25">
        <v>40814</v>
      </c>
      <c r="B36" s="22">
        <v>14</v>
      </c>
      <c r="C36" s="21" t="s">
        <v>316</v>
      </c>
      <c r="D36" s="21">
        <v>14</v>
      </c>
      <c r="E36" s="23">
        <v>14264</v>
      </c>
      <c r="G36" s="21" t="s">
        <v>287</v>
      </c>
    </row>
    <row r="37" spans="1:7" ht="14.4" hidden="1">
      <c r="A37" s="25">
        <v>43310</v>
      </c>
      <c r="B37" s="22">
        <v>3</v>
      </c>
      <c r="C37" s="21" t="s">
        <v>317</v>
      </c>
      <c r="D37" s="21">
        <v>14</v>
      </c>
      <c r="E37" s="23">
        <v>14420</v>
      </c>
      <c r="G37" s="21" t="s">
        <v>274</v>
      </c>
    </row>
    <row r="38" spans="1:7" ht="14.4" hidden="1">
      <c r="A38" s="21"/>
      <c r="B38" s="21" t="s">
        <v>278</v>
      </c>
      <c r="C38" s="21" t="s">
        <v>318</v>
      </c>
      <c r="D38" s="21">
        <v>14</v>
      </c>
      <c r="E38" s="23">
        <v>14134</v>
      </c>
      <c r="G38" s="21" t="s">
        <v>274</v>
      </c>
    </row>
    <row r="39" spans="1:7" ht="14.4" hidden="1">
      <c r="A39" s="21"/>
      <c r="B39" s="21" t="s">
        <v>278</v>
      </c>
      <c r="C39" s="21" t="s">
        <v>319</v>
      </c>
      <c r="D39" s="21">
        <v>14</v>
      </c>
      <c r="E39" s="23">
        <v>14132</v>
      </c>
      <c r="G39" s="21" t="s">
        <v>274</v>
      </c>
    </row>
    <row r="40" spans="1:7" ht="14.4" hidden="1">
      <c r="A40" s="25">
        <v>43365</v>
      </c>
      <c r="B40" s="22">
        <v>8</v>
      </c>
      <c r="C40" s="21" t="s">
        <v>320</v>
      </c>
      <c r="D40" s="21">
        <v>14</v>
      </c>
      <c r="E40" s="23">
        <v>14286</v>
      </c>
      <c r="G40" s="21" t="s">
        <v>300</v>
      </c>
    </row>
    <row r="41" spans="1:7" ht="14.4">
      <c r="A41" s="21"/>
      <c r="B41" s="22">
        <v>27</v>
      </c>
      <c r="C41" s="21" t="s">
        <v>322</v>
      </c>
      <c r="D41" s="21">
        <v>14</v>
      </c>
      <c r="E41" s="23">
        <v>14150</v>
      </c>
      <c r="G41" s="21" t="s">
        <v>310</v>
      </c>
    </row>
    <row r="42" spans="1:7" ht="14.4" hidden="1">
      <c r="A42" s="21"/>
      <c r="B42" s="21" t="s">
        <v>278</v>
      </c>
      <c r="C42" s="21" t="s">
        <v>325</v>
      </c>
      <c r="D42" s="21">
        <v>14</v>
      </c>
      <c r="E42" s="23">
        <v>14110</v>
      </c>
      <c r="G42" s="21" t="s">
        <v>310</v>
      </c>
    </row>
    <row r="43" spans="1:7" ht="14.4" hidden="1">
      <c r="A43" s="21"/>
      <c r="B43" s="21" t="s">
        <v>278</v>
      </c>
      <c r="C43" s="21" t="s">
        <v>326</v>
      </c>
      <c r="D43" s="21">
        <v>14</v>
      </c>
      <c r="E43" s="23">
        <v>14100</v>
      </c>
      <c r="G43" s="21" t="s">
        <v>310</v>
      </c>
    </row>
    <row r="44" spans="1:7" ht="14.4" hidden="1">
      <c r="A44" s="25">
        <v>40360</v>
      </c>
      <c r="B44" s="22">
        <v>2</v>
      </c>
      <c r="C44" s="21" t="s">
        <v>328</v>
      </c>
      <c r="D44" s="21">
        <v>14</v>
      </c>
      <c r="E44" s="23">
        <v>14421</v>
      </c>
      <c r="G44" s="21" t="s">
        <v>274</v>
      </c>
    </row>
    <row r="45" spans="1:7" ht="14.4">
      <c r="A45" s="21"/>
      <c r="B45" s="22">
        <v>16</v>
      </c>
      <c r="C45" s="21" t="s">
        <v>329</v>
      </c>
      <c r="D45" s="21">
        <v>14</v>
      </c>
      <c r="E45" s="23">
        <v>14246</v>
      </c>
      <c r="G45" s="21" t="s">
        <v>310</v>
      </c>
    </row>
    <row r="46" spans="1:7" ht="14.4" hidden="1">
      <c r="A46" s="25">
        <v>41122</v>
      </c>
      <c r="B46" s="22">
        <v>26</v>
      </c>
      <c r="C46" s="21" t="s">
        <v>330</v>
      </c>
      <c r="D46" s="21">
        <v>14</v>
      </c>
      <c r="E46" s="23">
        <v>14153</v>
      </c>
      <c r="G46" s="21" t="s">
        <v>274</v>
      </c>
    </row>
    <row r="47" spans="1:7" ht="14.4">
      <c r="A47" s="21"/>
      <c r="B47" s="22">
        <v>46</v>
      </c>
      <c r="C47" s="21" t="s">
        <v>331</v>
      </c>
      <c r="D47" s="21">
        <v>14</v>
      </c>
      <c r="E47" s="23">
        <v>14034</v>
      </c>
      <c r="G47" s="21" t="s">
        <v>310</v>
      </c>
    </row>
    <row r="48" spans="1:7" ht="14.4" hidden="1">
      <c r="A48" s="25">
        <v>41165</v>
      </c>
      <c r="B48" s="22">
        <v>17</v>
      </c>
      <c r="C48" s="21" t="s">
        <v>332</v>
      </c>
      <c r="D48" s="21">
        <v>14</v>
      </c>
      <c r="E48" s="23">
        <v>14229</v>
      </c>
      <c r="G48" s="21" t="s">
        <v>274</v>
      </c>
    </row>
    <row r="49" spans="1:7" ht="14.4" hidden="1">
      <c r="A49" s="25">
        <v>40787</v>
      </c>
      <c r="B49" s="22">
        <v>45</v>
      </c>
      <c r="C49" s="21" t="s">
        <v>333</v>
      </c>
      <c r="D49" s="21">
        <v>14</v>
      </c>
      <c r="E49" s="23">
        <v>14036</v>
      </c>
      <c r="G49" s="21" t="s">
        <v>300</v>
      </c>
    </row>
    <row r="50" spans="1:7" ht="14.4">
      <c r="A50" s="21"/>
      <c r="B50" s="22">
        <v>50</v>
      </c>
      <c r="C50" s="21" t="s">
        <v>334</v>
      </c>
      <c r="D50" s="21">
        <v>14</v>
      </c>
      <c r="E50" s="23">
        <v>14014</v>
      </c>
      <c r="F50" s="3">
        <v>5</v>
      </c>
      <c r="G50" s="21" t="s">
        <v>310</v>
      </c>
    </row>
    <row r="51" spans="1:7" ht="14.4">
      <c r="A51" s="21"/>
      <c r="B51" s="22">
        <v>39</v>
      </c>
      <c r="C51" s="21" t="s">
        <v>335</v>
      </c>
      <c r="D51" s="21">
        <v>14</v>
      </c>
      <c r="E51" s="23">
        <v>14059</v>
      </c>
      <c r="G51" s="21" t="s">
        <v>310</v>
      </c>
    </row>
    <row r="52" spans="1:7" ht="14.4" hidden="1">
      <c r="A52" s="21"/>
      <c r="B52" s="21" t="s">
        <v>298</v>
      </c>
      <c r="C52" s="21" t="s">
        <v>336</v>
      </c>
      <c r="D52" s="21">
        <v>14</v>
      </c>
      <c r="E52" s="23">
        <v>14060</v>
      </c>
      <c r="G52" s="21" t="s">
        <v>337</v>
      </c>
    </row>
    <row r="53" spans="1:7" ht="14.4" hidden="1">
      <c r="A53" s="21"/>
      <c r="B53" s="21" t="s">
        <v>278</v>
      </c>
      <c r="C53" s="21" t="s">
        <v>338</v>
      </c>
      <c r="D53" s="21">
        <v>14</v>
      </c>
      <c r="E53" s="23">
        <v>14060</v>
      </c>
      <c r="G53" s="21" t="s">
        <v>287</v>
      </c>
    </row>
    <row r="54" spans="1:7" ht="14.4" hidden="1">
      <c r="A54" s="25">
        <v>42931</v>
      </c>
      <c r="B54" s="22">
        <v>21</v>
      </c>
      <c r="C54" s="21" t="s">
        <v>339</v>
      </c>
      <c r="D54" s="21">
        <v>14</v>
      </c>
      <c r="E54" s="23">
        <v>14196</v>
      </c>
      <c r="G54" s="21" t="s">
        <v>274</v>
      </c>
    </row>
    <row r="55" spans="1:7" ht="14.4" hidden="1">
      <c r="A55" s="25">
        <v>42555</v>
      </c>
      <c r="B55" s="22">
        <v>30</v>
      </c>
      <c r="C55" s="21" t="s">
        <v>340</v>
      </c>
      <c r="D55" s="21">
        <v>14</v>
      </c>
      <c r="E55" s="23">
        <v>14110</v>
      </c>
      <c r="G55" s="21" t="s">
        <v>287</v>
      </c>
    </row>
    <row r="56" spans="1:7" ht="14.4">
      <c r="A56" s="21"/>
      <c r="B56" s="22">
        <v>53</v>
      </c>
      <c r="C56" s="21" t="s">
        <v>341</v>
      </c>
      <c r="D56" s="21">
        <v>14</v>
      </c>
      <c r="E56" s="23">
        <v>14001</v>
      </c>
      <c r="G56" s="21" t="s">
        <v>310</v>
      </c>
    </row>
    <row r="57" spans="1:7" ht="14.4" hidden="1">
      <c r="A57" s="25">
        <v>43393</v>
      </c>
      <c r="B57" s="22">
        <v>13</v>
      </c>
      <c r="C57" s="21" t="s">
        <v>342</v>
      </c>
      <c r="D57" s="21">
        <v>14</v>
      </c>
      <c r="E57" s="23">
        <v>14265</v>
      </c>
      <c r="G57" s="21" t="s">
        <v>343</v>
      </c>
    </row>
    <row r="58" spans="1:7" ht="14.4">
      <c r="A58" s="21"/>
      <c r="B58" s="22">
        <v>6</v>
      </c>
      <c r="C58" s="21" t="s">
        <v>344</v>
      </c>
      <c r="D58" s="21">
        <v>14</v>
      </c>
      <c r="E58" s="23">
        <v>14309</v>
      </c>
      <c r="G58" s="21" t="s">
        <v>310</v>
      </c>
    </row>
    <row r="59" spans="1:7" ht="14.4" hidden="1">
      <c r="A59" s="21"/>
      <c r="B59" s="21" t="s">
        <v>298</v>
      </c>
      <c r="C59" s="21" t="s">
        <v>345</v>
      </c>
      <c r="D59" s="21">
        <v>14</v>
      </c>
      <c r="E59" s="23">
        <v>14039</v>
      </c>
      <c r="G59" s="21" t="s">
        <v>310</v>
      </c>
    </row>
    <row r="60" spans="1:7" ht="14.4">
      <c r="A60" s="21"/>
      <c r="B60" s="22">
        <v>49</v>
      </c>
      <c r="C60" s="21" t="s">
        <v>346</v>
      </c>
      <c r="D60" s="21">
        <v>14</v>
      </c>
      <c r="E60" s="23">
        <v>14015</v>
      </c>
      <c r="G60" s="21" t="s">
        <v>310</v>
      </c>
    </row>
    <row r="61" spans="1:7" ht="14.4">
      <c r="A61" s="21"/>
      <c r="B61" s="22">
        <v>48</v>
      </c>
      <c r="C61" s="21" t="s">
        <v>347</v>
      </c>
      <c r="D61" s="21">
        <v>14</v>
      </c>
      <c r="E61" s="23">
        <v>14017</v>
      </c>
      <c r="G61" s="21" t="s">
        <v>310</v>
      </c>
    </row>
    <row r="62" spans="1:7" ht="14.4">
      <c r="A62" s="21"/>
      <c r="B62" s="22">
        <v>33</v>
      </c>
      <c r="C62" s="21" t="s">
        <v>348</v>
      </c>
      <c r="D62" s="21">
        <v>14</v>
      </c>
      <c r="E62" s="23">
        <v>14082</v>
      </c>
      <c r="G62" s="21" t="s">
        <v>310</v>
      </c>
    </row>
    <row r="63" spans="1:7" ht="14.4" hidden="1">
      <c r="A63" s="21"/>
      <c r="B63" s="21" t="s">
        <v>278</v>
      </c>
      <c r="C63" s="21" t="s">
        <v>349</v>
      </c>
      <c r="D63" s="21">
        <v>14</v>
      </c>
      <c r="E63" s="23">
        <v>14020</v>
      </c>
      <c r="G63" s="21" t="s">
        <v>300</v>
      </c>
    </row>
    <row r="64" spans="1:7" ht="14.4" hidden="1">
      <c r="A64" s="21"/>
      <c r="B64" s="21" t="s">
        <v>278</v>
      </c>
      <c r="C64" s="21" t="s">
        <v>350</v>
      </c>
      <c r="D64" s="21">
        <v>14</v>
      </c>
      <c r="E64" s="23">
        <v>14020</v>
      </c>
      <c r="G64" s="21" t="s">
        <v>282</v>
      </c>
    </row>
    <row r="65" spans="1:7" ht="14.4" hidden="1">
      <c r="A65" s="21"/>
      <c r="B65" s="21" t="s">
        <v>278</v>
      </c>
      <c r="C65" s="21" t="s">
        <v>351</v>
      </c>
      <c r="D65" s="21">
        <v>14</v>
      </c>
      <c r="E65" s="23">
        <v>14020</v>
      </c>
      <c r="G65" s="21" t="s">
        <v>337</v>
      </c>
    </row>
    <row r="66" spans="1:7" ht="14.4" hidden="1">
      <c r="A66" s="21"/>
      <c r="B66" s="21" t="s">
        <v>278</v>
      </c>
      <c r="C66" s="21" t="s">
        <v>352</v>
      </c>
      <c r="D66" s="21">
        <v>14</v>
      </c>
      <c r="E66" s="23">
        <v>14020</v>
      </c>
      <c r="G66" s="21" t="s">
        <v>282</v>
      </c>
    </row>
    <row r="67" spans="1:7" ht="14.4">
      <c r="A67" s="21"/>
      <c r="B67" s="22">
        <v>29</v>
      </c>
      <c r="C67" s="21" t="s">
        <v>353</v>
      </c>
      <c r="D67" s="21">
        <v>14</v>
      </c>
      <c r="E67" s="23">
        <v>14130</v>
      </c>
      <c r="G67" s="21" t="s">
        <v>337</v>
      </c>
    </row>
    <row r="68" spans="1:7" ht="14.4" hidden="1">
      <c r="A68" s="25">
        <v>41165</v>
      </c>
      <c r="B68" s="22">
        <v>25</v>
      </c>
      <c r="C68" s="21" t="s">
        <v>354</v>
      </c>
      <c r="D68" s="21">
        <v>14</v>
      </c>
      <c r="E68" s="23">
        <v>14155</v>
      </c>
      <c r="G68" s="21" t="s">
        <v>274</v>
      </c>
    </row>
    <row r="69" spans="1:7" ht="14.4" hidden="1">
      <c r="A69" s="25">
        <v>42626</v>
      </c>
      <c r="B69" s="22">
        <v>11</v>
      </c>
      <c r="C69" s="21" t="s">
        <v>355</v>
      </c>
      <c r="D69" s="21">
        <v>14</v>
      </c>
      <c r="E69" s="23">
        <v>14267</v>
      </c>
      <c r="G69" s="21" t="s">
        <v>287</v>
      </c>
    </row>
    <row r="70" spans="1:7" ht="14.4">
      <c r="A70" s="21"/>
      <c r="B70" s="22">
        <v>12</v>
      </c>
      <c r="C70" s="21" t="s">
        <v>356</v>
      </c>
      <c r="D70" s="21">
        <v>14</v>
      </c>
      <c r="E70" s="23">
        <v>14265</v>
      </c>
      <c r="G70" s="21" t="s">
        <v>337</v>
      </c>
    </row>
    <row r="71" spans="1:7" ht="14.4" hidden="1">
      <c r="A71" s="21"/>
      <c r="B71" s="21" t="s">
        <v>298</v>
      </c>
      <c r="C71" s="21" t="s">
        <v>358</v>
      </c>
      <c r="D71" s="21">
        <v>14</v>
      </c>
      <c r="E71" s="23">
        <v>14014</v>
      </c>
      <c r="G71" s="21" t="s">
        <v>337</v>
      </c>
    </row>
    <row r="72" spans="1:7" ht="14.4">
      <c r="A72" s="21"/>
      <c r="B72" s="22">
        <v>24</v>
      </c>
      <c r="C72" s="21" t="s">
        <v>362</v>
      </c>
      <c r="D72" s="21">
        <v>14</v>
      </c>
      <c r="E72" s="23">
        <v>14156</v>
      </c>
      <c r="G72" s="21" t="s">
        <v>337</v>
      </c>
    </row>
    <row r="73" spans="1:7" ht="14.4">
      <c r="A73" s="21"/>
      <c r="B73" s="22">
        <v>47</v>
      </c>
      <c r="C73" s="21" t="s">
        <v>364</v>
      </c>
      <c r="D73" s="21">
        <v>14</v>
      </c>
      <c r="E73" s="23">
        <v>14018</v>
      </c>
      <c r="G73" s="21" t="s">
        <v>337</v>
      </c>
    </row>
    <row r="74" spans="1:7" ht="14.4">
      <c r="A74" s="21"/>
      <c r="B74" s="22">
        <v>31</v>
      </c>
      <c r="C74" s="21" t="s">
        <v>369</v>
      </c>
      <c r="D74" s="21">
        <v>14</v>
      </c>
      <c r="E74" s="23">
        <v>14092</v>
      </c>
      <c r="G74" s="21" t="s">
        <v>337</v>
      </c>
    </row>
    <row r="75" spans="1:7" ht="14.4" hidden="1">
      <c r="A75" s="21"/>
      <c r="B75" s="21" t="s">
        <v>278</v>
      </c>
      <c r="C75" s="21" t="s">
        <v>375</v>
      </c>
      <c r="D75" s="21">
        <v>14</v>
      </c>
      <c r="E75" s="23">
        <v>14000</v>
      </c>
      <c r="G75" s="21" t="s">
        <v>310</v>
      </c>
    </row>
    <row r="76" spans="1:7" ht="14.4" hidden="1">
      <c r="A76" s="21" t="s">
        <v>377</v>
      </c>
      <c r="B76" s="22">
        <v>54</v>
      </c>
      <c r="C76" s="21" t="s">
        <v>379</v>
      </c>
      <c r="D76" s="21">
        <v>13</v>
      </c>
      <c r="E76" s="23">
        <v>13988</v>
      </c>
      <c r="G76" s="21" t="s">
        <v>274</v>
      </c>
    </row>
    <row r="77" spans="1:7" ht="14.4" hidden="1">
      <c r="A77" s="21"/>
      <c r="B77" s="22">
        <v>55</v>
      </c>
      <c r="C77" s="21" t="s">
        <v>381</v>
      </c>
      <c r="D77" s="21">
        <v>13</v>
      </c>
      <c r="E77" s="23">
        <v>13983</v>
      </c>
      <c r="G77" s="21" t="s">
        <v>310</v>
      </c>
    </row>
    <row r="78" spans="1:7" ht="14.4" hidden="1">
      <c r="A78" s="21"/>
      <c r="B78" s="22">
        <v>56</v>
      </c>
      <c r="C78" s="21" t="s">
        <v>385</v>
      </c>
      <c r="D78" s="21">
        <v>13</v>
      </c>
      <c r="E78" s="23">
        <v>13980</v>
      </c>
      <c r="G78" s="21" t="s">
        <v>282</v>
      </c>
    </row>
    <row r="79" spans="1:7" ht="14.4" hidden="1">
      <c r="A79" s="21"/>
      <c r="B79" s="21" t="s">
        <v>278</v>
      </c>
      <c r="C79" s="21" t="s">
        <v>387</v>
      </c>
      <c r="D79" s="21">
        <v>13</v>
      </c>
      <c r="E79" s="23">
        <v>13980</v>
      </c>
      <c r="G79" s="21" t="s">
        <v>282</v>
      </c>
    </row>
    <row r="80" spans="1:7" ht="14.4" hidden="1">
      <c r="A80" s="21"/>
      <c r="B80" s="21" t="s">
        <v>278</v>
      </c>
      <c r="C80" s="21" t="s">
        <v>390</v>
      </c>
      <c r="D80" s="21">
        <v>13</v>
      </c>
      <c r="E80" s="23">
        <v>13980</v>
      </c>
      <c r="G80" s="21" t="s">
        <v>282</v>
      </c>
    </row>
    <row r="81" spans="1:7" ht="14.4" hidden="1">
      <c r="A81" s="21"/>
      <c r="B81" s="22">
        <v>57</v>
      </c>
      <c r="C81" s="21" t="s">
        <v>393</v>
      </c>
      <c r="D81" s="21">
        <v>13</v>
      </c>
      <c r="E81" s="23">
        <v>13972</v>
      </c>
      <c r="G81" s="21" t="s">
        <v>310</v>
      </c>
    </row>
    <row r="82" spans="1:7" ht="14.4" hidden="1">
      <c r="A82" s="21"/>
      <c r="B82" s="22">
        <v>58</v>
      </c>
      <c r="C82" s="21" t="s">
        <v>396</v>
      </c>
      <c r="D82" s="21">
        <v>13</v>
      </c>
      <c r="E82" s="23">
        <v>13971</v>
      </c>
      <c r="G82" s="21" t="s">
        <v>274</v>
      </c>
    </row>
    <row r="83" spans="1:7" ht="14.4" hidden="1">
      <c r="A83" s="21"/>
      <c r="B83" s="22">
        <v>59</v>
      </c>
      <c r="C83" s="21" t="s">
        <v>398</v>
      </c>
      <c r="D83" s="21">
        <v>13</v>
      </c>
      <c r="E83" s="23">
        <v>13951</v>
      </c>
      <c r="G83" s="21" t="s">
        <v>274</v>
      </c>
    </row>
    <row r="84" spans="1:7" ht="14.4" hidden="1">
      <c r="A84" s="21"/>
      <c r="B84" s="22">
        <v>60</v>
      </c>
      <c r="C84" s="21" t="s">
        <v>403</v>
      </c>
      <c r="D84" s="21">
        <v>13</v>
      </c>
      <c r="E84" s="23">
        <v>13951</v>
      </c>
      <c r="G84" s="21" t="s">
        <v>343</v>
      </c>
    </row>
    <row r="85" spans="1:7" ht="14.4" hidden="1">
      <c r="A85" s="21"/>
      <c r="B85" s="21" t="s">
        <v>298</v>
      </c>
      <c r="C85" s="21" t="s">
        <v>405</v>
      </c>
      <c r="D85" s="21">
        <v>13</v>
      </c>
      <c r="E85" s="23">
        <v>13951</v>
      </c>
      <c r="G85" s="21" t="s">
        <v>300</v>
      </c>
    </row>
    <row r="86" spans="1:7" ht="14.4" hidden="1">
      <c r="A86" s="21"/>
      <c r="B86" s="22">
        <v>61</v>
      </c>
      <c r="C86" s="21" t="s">
        <v>409</v>
      </c>
      <c r="D86" s="21">
        <v>13</v>
      </c>
      <c r="E86" s="23">
        <v>13950</v>
      </c>
      <c r="G86" s="21" t="s">
        <v>343</v>
      </c>
    </row>
    <row r="87" spans="1:7" ht="14.4" hidden="1">
      <c r="A87" s="21"/>
      <c r="B87" s="22">
        <v>62</v>
      </c>
      <c r="C87" s="21" t="s">
        <v>412</v>
      </c>
      <c r="D87" s="21">
        <v>13</v>
      </c>
      <c r="E87" s="23">
        <v>13943</v>
      </c>
      <c r="G87" s="21" t="s">
        <v>337</v>
      </c>
    </row>
    <row r="88" spans="1:7" ht="14.4" hidden="1">
      <c r="A88" s="21"/>
      <c r="B88" s="22">
        <v>63</v>
      </c>
      <c r="C88" s="21" t="s">
        <v>416</v>
      </c>
      <c r="D88" s="21">
        <v>13</v>
      </c>
      <c r="E88" s="23">
        <v>13940</v>
      </c>
      <c r="G88" s="21" t="s">
        <v>274</v>
      </c>
    </row>
    <row r="89" spans="1:7" ht="14.4" hidden="1">
      <c r="A89" s="21"/>
      <c r="B89" s="22">
        <v>64</v>
      </c>
      <c r="C89" s="21" t="s">
        <v>420</v>
      </c>
      <c r="D89" s="21">
        <v>13</v>
      </c>
      <c r="E89" s="23">
        <v>13933</v>
      </c>
      <c r="G89" s="21" t="s">
        <v>274</v>
      </c>
    </row>
    <row r="90" spans="1:7" ht="14.4" hidden="1">
      <c r="A90" s="21"/>
      <c r="B90" s="22">
        <v>65</v>
      </c>
      <c r="C90" s="21" t="s">
        <v>423</v>
      </c>
      <c r="D90" s="21">
        <v>13</v>
      </c>
      <c r="E90" s="23">
        <v>13932</v>
      </c>
      <c r="G90" s="21" t="s">
        <v>337</v>
      </c>
    </row>
    <row r="91" spans="1:7" ht="14.4" hidden="1">
      <c r="A91" s="21"/>
      <c r="B91" s="22">
        <v>66</v>
      </c>
      <c r="C91" s="21" t="s">
        <v>429</v>
      </c>
      <c r="D91" s="21">
        <v>13</v>
      </c>
      <c r="E91" s="23">
        <v>13931</v>
      </c>
      <c r="G91" s="21" t="s">
        <v>282</v>
      </c>
    </row>
    <row r="92" spans="1:7" ht="14.4" hidden="1">
      <c r="A92" s="21"/>
      <c r="B92" s="22">
        <v>67</v>
      </c>
      <c r="C92" s="21" t="s">
        <v>433</v>
      </c>
      <c r="D92" s="21">
        <v>13</v>
      </c>
      <c r="E92" s="23">
        <v>13913</v>
      </c>
      <c r="G92" s="21" t="s">
        <v>310</v>
      </c>
    </row>
    <row r="93" spans="1:7" ht="14.4" hidden="1">
      <c r="A93" s="25">
        <v>40449</v>
      </c>
      <c r="B93" s="22">
        <v>68</v>
      </c>
      <c r="C93" s="21" t="s">
        <v>436</v>
      </c>
      <c r="D93" s="21">
        <v>13</v>
      </c>
      <c r="E93" s="23">
        <v>13911</v>
      </c>
      <c r="G93" s="21" t="s">
        <v>287</v>
      </c>
    </row>
    <row r="94" spans="1:7" ht="14.4" hidden="1">
      <c r="A94" s="21"/>
      <c r="B94" s="22">
        <v>69</v>
      </c>
      <c r="C94" s="21" t="s">
        <v>438</v>
      </c>
      <c r="D94" s="21">
        <v>13</v>
      </c>
      <c r="E94" s="23">
        <v>13908</v>
      </c>
      <c r="G94" s="21" t="s">
        <v>274</v>
      </c>
    </row>
    <row r="95" spans="1:7" ht="14.4" hidden="1">
      <c r="A95" s="21"/>
      <c r="B95" s="22">
        <v>70</v>
      </c>
      <c r="C95" s="21" t="s">
        <v>439</v>
      </c>
      <c r="D95" s="21">
        <v>13</v>
      </c>
      <c r="E95" s="23">
        <v>13908</v>
      </c>
      <c r="G95" s="21" t="s">
        <v>282</v>
      </c>
    </row>
    <row r="96" spans="1:7" ht="14.4" hidden="1">
      <c r="A96" s="21"/>
      <c r="B96" s="22">
        <v>71</v>
      </c>
      <c r="C96" s="21" t="s">
        <v>440</v>
      </c>
      <c r="D96" s="21">
        <v>13</v>
      </c>
      <c r="E96" s="23">
        <v>13904</v>
      </c>
      <c r="G96" s="21" t="s">
        <v>274</v>
      </c>
    </row>
    <row r="97" spans="1:7" ht="14.4" hidden="1">
      <c r="A97" s="21"/>
      <c r="B97" s="21" t="s">
        <v>278</v>
      </c>
      <c r="C97" s="21" t="s">
        <v>441</v>
      </c>
      <c r="D97" s="21">
        <v>13</v>
      </c>
      <c r="E97" s="23">
        <v>13900</v>
      </c>
      <c r="G97" s="21" t="s">
        <v>343</v>
      </c>
    </row>
    <row r="98" spans="1:7" ht="14.4" hidden="1">
      <c r="A98" s="21"/>
      <c r="B98" s="22">
        <v>72</v>
      </c>
      <c r="C98" s="21" t="s">
        <v>442</v>
      </c>
      <c r="D98" s="21">
        <v>13</v>
      </c>
      <c r="E98" s="23">
        <v>13898</v>
      </c>
      <c r="G98" s="21" t="s">
        <v>300</v>
      </c>
    </row>
    <row r="99" spans="1:7" ht="14.4" hidden="1">
      <c r="A99" s="21"/>
      <c r="B99" s="22">
        <v>73</v>
      </c>
      <c r="C99" s="21" t="s">
        <v>443</v>
      </c>
      <c r="D99" s="21">
        <v>13</v>
      </c>
      <c r="E99" s="23">
        <v>13895</v>
      </c>
      <c r="G99" s="21" t="s">
        <v>310</v>
      </c>
    </row>
    <row r="100" spans="1:7" ht="14.4" hidden="1">
      <c r="A100" s="21"/>
      <c r="B100" s="22">
        <v>74</v>
      </c>
      <c r="C100" s="21" t="s">
        <v>444</v>
      </c>
      <c r="D100" s="21">
        <v>13</v>
      </c>
      <c r="E100" s="23">
        <v>13894</v>
      </c>
      <c r="G100" s="21" t="s">
        <v>310</v>
      </c>
    </row>
    <row r="101" spans="1:7" ht="14.4" hidden="1">
      <c r="A101" s="21"/>
      <c r="B101" s="21" t="s">
        <v>298</v>
      </c>
      <c r="C101" s="21" t="s">
        <v>445</v>
      </c>
      <c r="D101" s="21">
        <v>13</v>
      </c>
      <c r="E101" s="23">
        <v>13876</v>
      </c>
      <c r="G101" s="21" t="s">
        <v>274</v>
      </c>
    </row>
    <row r="102" spans="1:7" ht="14.4" hidden="1">
      <c r="A102" s="21"/>
      <c r="B102" s="22">
        <v>75</v>
      </c>
      <c r="C102" s="21" t="s">
        <v>446</v>
      </c>
      <c r="D102" s="21">
        <v>13</v>
      </c>
      <c r="E102" s="23">
        <v>13870</v>
      </c>
      <c r="G102" s="21" t="s">
        <v>274</v>
      </c>
    </row>
    <row r="103" spans="1:7" ht="14.4" hidden="1">
      <c r="A103" s="21"/>
      <c r="B103" s="22">
        <v>76</v>
      </c>
      <c r="C103" s="21" t="s">
        <v>447</v>
      </c>
      <c r="D103" s="21">
        <v>13</v>
      </c>
      <c r="E103" s="23">
        <v>13865</v>
      </c>
      <c r="G103" s="21" t="s">
        <v>300</v>
      </c>
    </row>
    <row r="104" spans="1:7" ht="14.4" hidden="1">
      <c r="A104" s="21"/>
      <c r="B104" s="22">
        <v>77</v>
      </c>
      <c r="C104" s="21" t="s">
        <v>448</v>
      </c>
      <c r="D104" s="21">
        <v>13</v>
      </c>
      <c r="E104" s="23">
        <v>13864</v>
      </c>
      <c r="G104" s="21" t="s">
        <v>310</v>
      </c>
    </row>
    <row r="105" spans="1:7" ht="14.4" hidden="1">
      <c r="A105" s="21"/>
      <c r="B105" s="22">
        <v>78</v>
      </c>
      <c r="C105" s="21" t="s">
        <v>449</v>
      </c>
      <c r="D105" s="21">
        <v>13</v>
      </c>
      <c r="E105" s="23">
        <v>13860</v>
      </c>
      <c r="G105" s="21" t="s">
        <v>310</v>
      </c>
    </row>
    <row r="106" spans="1:7" ht="14.4" hidden="1">
      <c r="A106" s="21"/>
      <c r="B106" s="22">
        <v>79</v>
      </c>
      <c r="C106" s="21" t="s">
        <v>450</v>
      </c>
      <c r="D106" s="21">
        <v>13</v>
      </c>
      <c r="E106" s="23">
        <v>13860</v>
      </c>
      <c r="G106" s="21" t="s">
        <v>274</v>
      </c>
    </row>
    <row r="107" spans="1:7" ht="14.4" hidden="1">
      <c r="A107" s="21" t="s">
        <v>377</v>
      </c>
      <c r="B107" s="21" t="s">
        <v>298</v>
      </c>
      <c r="C107" s="21" t="s">
        <v>451</v>
      </c>
      <c r="D107" s="21">
        <v>13</v>
      </c>
      <c r="E107" s="23">
        <v>13860</v>
      </c>
      <c r="G107" s="21" t="s">
        <v>287</v>
      </c>
    </row>
    <row r="108" spans="1:7" ht="14.4" hidden="1">
      <c r="A108" s="21"/>
      <c r="B108" s="22">
        <v>80</v>
      </c>
      <c r="C108" s="21" t="s">
        <v>453</v>
      </c>
      <c r="D108" s="21">
        <v>13</v>
      </c>
      <c r="E108" s="23">
        <v>13857</v>
      </c>
      <c r="G108" s="21" t="s">
        <v>300</v>
      </c>
    </row>
    <row r="109" spans="1:7" ht="14.4" hidden="1">
      <c r="A109" s="21"/>
      <c r="B109" s="22">
        <v>81</v>
      </c>
      <c r="C109" s="21" t="s">
        <v>455</v>
      </c>
      <c r="D109" s="21">
        <v>13</v>
      </c>
      <c r="E109" s="23">
        <v>13855</v>
      </c>
      <c r="G109" s="21" t="s">
        <v>300</v>
      </c>
    </row>
    <row r="110" spans="1:7" ht="14.4" hidden="1">
      <c r="A110" s="21"/>
      <c r="B110" s="22">
        <v>82</v>
      </c>
      <c r="C110" s="21" t="s">
        <v>457</v>
      </c>
      <c r="D110" s="21">
        <v>13</v>
      </c>
      <c r="E110" s="23">
        <v>13852</v>
      </c>
      <c r="G110" s="21" t="s">
        <v>343</v>
      </c>
    </row>
    <row r="111" spans="1:7" ht="14.4" hidden="1">
      <c r="A111" s="21"/>
      <c r="B111" s="21" t="s">
        <v>298</v>
      </c>
      <c r="C111" s="21" t="s">
        <v>458</v>
      </c>
      <c r="D111" s="21">
        <v>13</v>
      </c>
      <c r="E111" s="23">
        <v>13852</v>
      </c>
      <c r="G111" s="21" t="s">
        <v>300</v>
      </c>
    </row>
    <row r="112" spans="1:7" ht="14.4" hidden="1">
      <c r="A112" s="21"/>
      <c r="B112" s="22">
        <v>83</v>
      </c>
      <c r="C112" s="21" t="s">
        <v>459</v>
      </c>
      <c r="D112" s="21">
        <v>13</v>
      </c>
      <c r="E112" s="23">
        <v>13850</v>
      </c>
      <c r="G112" s="21" t="s">
        <v>287</v>
      </c>
    </row>
    <row r="113" spans="1:7" ht="14.4" hidden="1">
      <c r="A113" s="21"/>
      <c r="B113" s="22">
        <v>84</v>
      </c>
      <c r="C113" s="21" t="s">
        <v>460</v>
      </c>
      <c r="D113" s="21">
        <v>13</v>
      </c>
      <c r="E113" s="23">
        <v>13849</v>
      </c>
      <c r="G113" s="21" t="s">
        <v>282</v>
      </c>
    </row>
    <row r="114" spans="1:7" ht="14.4" hidden="1">
      <c r="A114" s="21"/>
      <c r="B114" s="22">
        <v>85</v>
      </c>
      <c r="C114" s="21" t="s">
        <v>461</v>
      </c>
      <c r="D114" s="21">
        <v>13</v>
      </c>
      <c r="E114" s="23">
        <v>13845</v>
      </c>
      <c r="G114" s="21" t="s">
        <v>274</v>
      </c>
    </row>
    <row r="115" spans="1:7" ht="14.4" hidden="1">
      <c r="A115" s="21"/>
      <c r="B115" s="21" t="s">
        <v>298</v>
      </c>
      <c r="C115" s="21" t="s">
        <v>462</v>
      </c>
      <c r="D115" s="21">
        <v>13</v>
      </c>
      <c r="E115" s="23">
        <v>13842</v>
      </c>
      <c r="G115" s="21" t="s">
        <v>287</v>
      </c>
    </row>
    <row r="116" spans="1:7" ht="14.4" hidden="1">
      <c r="A116" s="21"/>
      <c r="B116" s="22">
        <v>86</v>
      </c>
      <c r="C116" s="21" t="s">
        <v>463</v>
      </c>
      <c r="D116" s="21">
        <v>13</v>
      </c>
      <c r="E116" s="23">
        <v>13841</v>
      </c>
      <c r="G116" s="21" t="s">
        <v>310</v>
      </c>
    </row>
    <row r="117" spans="1:7" ht="14.4" hidden="1">
      <c r="A117" s="21"/>
      <c r="B117" s="22">
        <v>87</v>
      </c>
      <c r="C117" s="21" t="s">
        <v>464</v>
      </c>
      <c r="D117" s="21">
        <v>13</v>
      </c>
      <c r="E117" s="23">
        <v>13841</v>
      </c>
      <c r="G117" s="21" t="s">
        <v>343</v>
      </c>
    </row>
    <row r="118" spans="1:7" ht="14.4" hidden="1">
      <c r="A118" s="21"/>
      <c r="B118" s="22">
        <v>88</v>
      </c>
      <c r="C118" s="21" t="s">
        <v>465</v>
      </c>
      <c r="D118" s="21">
        <v>13</v>
      </c>
      <c r="E118" s="23">
        <v>13841</v>
      </c>
      <c r="G118" s="21" t="s">
        <v>337</v>
      </c>
    </row>
    <row r="119" spans="1:7" ht="14.4" hidden="1">
      <c r="A119" s="21"/>
      <c r="B119" s="22">
        <v>89</v>
      </c>
      <c r="C119" s="21" t="s">
        <v>466</v>
      </c>
      <c r="D119" s="21">
        <v>13</v>
      </c>
      <c r="E119" s="23">
        <v>13835</v>
      </c>
      <c r="G119" s="21" t="s">
        <v>310</v>
      </c>
    </row>
    <row r="120" spans="1:7" ht="14.4" hidden="1">
      <c r="A120" s="21"/>
      <c r="B120" s="22">
        <v>90</v>
      </c>
      <c r="C120" s="21" t="s">
        <v>467</v>
      </c>
      <c r="D120" s="21">
        <v>13</v>
      </c>
      <c r="E120" s="23">
        <v>13832</v>
      </c>
      <c r="G120" s="21" t="s">
        <v>310</v>
      </c>
    </row>
    <row r="121" spans="1:7" ht="14.4" hidden="1">
      <c r="A121" s="21"/>
      <c r="B121" s="22">
        <v>91</v>
      </c>
      <c r="C121" s="21" t="s">
        <v>468</v>
      </c>
      <c r="D121" s="21">
        <v>13</v>
      </c>
      <c r="E121" s="23">
        <v>13831</v>
      </c>
      <c r="G121" s="21" t="s">
        <v>274</v>
      </c>
    </row>
    <row r="122" spans="1:7" ht="14.4" hidden="1">
      <c r="A122" s="21"/>
      <c r="B122" s="21" t="s">
        <v>298</v>
      </c>
      <c r="C122" s="21" t="s">
        <v>469</v>
      </c>
      <c r="D122" s="21">
        <v>13</v>
      </c>
      <c r="E122" s="23">
        <v>13831</v>
      </c>
      <c r="G122" s="21" t="s">
        <v>274</v>
      </c>
    </row>
    <row r="123" spans="1:7" ht="14.4" hidden="1">
      <c r="A123" s="21"/>
      <c r="B123" s="22">
        <v>92</v>
      </c>
      <c r="C123" s="21" t="s">
        <v>470</v>
      </c>
      <c r="D123" s="21">
        <v>13</v>
      </c>
      <c r="E123" s="23">
        <v>13830</v>
      </c>
      <c r="G123" s="21" t="s">
        <v>310</v>
      </c>
    </row>
    <row r="124" spans="1:7" ht="14.4" hidden="1">
      <c r="A124" s="21"/>
      <c r="B124" s="22">
        <v>93</v>
      </c>
      <c r="C124" s="21" t="s">
        <v>471</v>
      </c>
      <c r="D124" s="21">
        <v>13</v>
      </c>
      <c r="E124" s="23">
        <v>13828</v>
      </c>
      <c r="G124" s="21" t="s">
        <v>282</v>
      </c>
    </row>
    <row r="125" spans="1:7" ht="14.4" hidden="1">
      <c r="A125" s="21"/>
      <c r="B125" s="22">
        <v>94</v>
      </c>
      <c r="C125" s="21" t="s">
        <v>472</v>
      </c>
      <c r="D125" s="21">
        <v>13</v>
      </c>
      <c r="E125" s="23">
        <v>13824</v>
      </c>
      <c r="G125" s="21" t="s">
        <v>310</v>
      </c>
    </row>
    <row r="126" spans="1:7" ht="14.4" hidden="1">
      <c r="A126" s="21"/>
      <c r="B126" s="22">
        <v>95</v>
      </c>
      <c r="C126" s="21" t="s">
        <v>473</v>
      </c>
      <c r="D126" s="21">
        <v>13</v>
      </c>
      <c r="E126" s="23">
        <v>13823</v>
      </c>
      <c r="G126" s="21" t="s">
        <v>274</v>
      </c>
    </row>
    <row r="127" spans="1:7" ht="14.4" hidden="1">
      <c r="A127" s="21"/>
      <c r="B127" s="22">
        <v>96</v>
      </c>
      <c r="C127" s="21" t="s">
        <v>474</v>
      </c>
      <c r="D127" s="21">
        <v>13</v>
      </c>
      <c r="E127" s="23">
        <v>13822</v>
      </c>
      <c r="G127" s="21" t="s">
        <v>287</v>
      </c>
    </row>
    <row r="128" spans="1:7" ht="14.4" hidden="1">
      <c r="A128" s="21"/>
      <c r="B128" s="22">
        <v>97</v>
      </c>
      <c r="C128" s="21" t="s">
        <v>477</v>
      </c>
      <c r="D128" s="21">
        <v>13</v>
      </c>
      <c r="E128" s="23">
        <v>13821</v>
      </c>
      <c r="G128" s="21" t="s">
        <v>310</v>
      </c>
    </row>
    <row r="129" spans="1:7" ht="14.4" hidden="1">
      <c r="A129" s="21"/>
      <c r="B129" s="22">
        <v>98</v>
      </c>
      <c r="C129" s="21" t="s">
        <v>481</v>
      </c>
      <c r="D129" s="21">
        <v>13</v>
      </c>
      <c r="E129" s="23">
        <v>13819</v>
      </c>
      <c r="G129" s="21" t="s">
        <v>310</v>
      </c>
    </row>
    <row r="130" spans="1:7" ht="14.4" hidden="1">
      <c r="A130" s="21"/>
      <c r="B130" s="22">
        <v>99</v>
      </c>
      <c r="C130" s="21" t="s">
        <v>485</v>
      </c>
      <c r="D130" s="21">
        <v>13</v>
      </c>
      <c r="E130" s="23">
        <v>13811</v>
      </c>
      <c r="G130" s="21" t="s">
        <v>310</v>
      </c>
    </row>
    <row r="131" spans="1:7" ht="14.4" hidden="1">
      <c r="A131" s="21"/>
      <c r="B131" s="22">
        <v>100</v>
      </c>
      <c r="C131" s="21" t="s">
        <v>489</v>
      </c>
      <c r="D131" s="21">
        <v>13</v>
      </c>
      <c r="E131" s="23">
        <v>13809</v>
      </c>
      <c r="G131" s="21" t="s">
        <v>310</v>
      </c>
    </row>
    <row r="132" spans="1:7" ht="14.4" hidden="1">
      <c r="A132" s="21"/>
      <c r="B132" s="22">
        <v>101</v>
      </c>
      <c r="C132" s="21" t="s">
        <v>491</v>
      </c>
      <c r="D132" s="21">
        <v>13</v>
      </c>
      <c r="E132" s="23">
        <v>13807</v>
      </c>
      <c r="G132" s="21" t="s">
        <v>310</v>
      </c>
    </row>
    <row r="133" spans="1:7" ht="14.4" hidden="1">
      <c r="A133" s="21"/>
      <c r="B133" s="22">
        <v>102</v>
      </c>
      <c r="C133" s="21" t="s">
        <v>494</v>
      </c>
      <c r="D133" s="21">
        <v>13</v>
      </c>
      <c r="E133" s="23">
        <v>13806</v>
      </c>
      <c r="G133" s="21" t="s">
        <v>310</v>
      </c>
    </row>
    <row r="134" spans="1:7" ht="14.4" hidden="1">
      <c r="A134" s="21"/>
      <c r="B134" s="22">
        <v>103</v>
      </c>
      <c r="C134" s="21" t="s">
        <v>497</v>
      </c>
      <c r="D134" s="21">
        <v>13</v>
      </c>
      <c r="E134" s="23">
        <v>13805</v>
      </c>
      <c r="G134" s="21" t="s">
        <v>310</v>
      </c>
    </row>
    <row r="135" spans="1:7" ht="14.4" hidden="1">
      <c r="A135" s="21"/>
      <c r="B135" s="22">
        <v>104</v>
      </c>
      <c r="C135" s="21" t="s">
        <v>501</v>
      </c>
      <c r="D135" s="21">
        <v>13</v>
      </c>
      <c r="E135" s="23">
        <v>13803</v>
      </c>
      <c r="G135" s="21" t="s">
        <v>310</v>
      </c>
    </row>
    <row r="136" spans="1:7" ht="14.4" hidden="1">
      <c r="A136" s="21"/>
      <c r="B136" s="22">
        <v>105</v>
      </c>
      <c r="C136" s="21" t="s">
        <v>507</v>
      </c>
      <c r="D136" s="21">
        <v>13</v>
      </c>
      <c r="E136" s="23">
        <v>13803</v>
      </c>
      <c r="G136" s="21" t="s">
        <v>337</v>
      </c>
    </row>
    <row r="137" spans="1:7" ht="14.4" hidden="1">
      <c r="A137" s="21"/>
      <c r="B137" s="22">
        <v>106</v>
      </c>
      <c r="C137" s="21" t="s">
        <v>508</v>
      </c>
      <c r="D137" s="21">
        <v>13</v>
      </c>
      <c r="E137" s="23">
        <v>13801</v>
      </c>
      <c r="G137" s="21" t="s">
        <v>310</v>
      </c>
    </row>
    <row r="138" spans="1:7" ht="14.4" hidden="1">
      <c r="A138" s="21"/>
      <c r="B138" s="22">
        <v>107</v>
      </c>
      <c r="C138" s="21" t="s">
        <v>513</v>
      </c>
      <c r="D138" s="21">
        <v>13</v>
      </c>
      <c r="E138" s="23">
        <v>13799</v>
      </c>
      <c r="G138" s="21" t="s">
        <v>282</v>
      </c>
    </row>
    <row r="139" spans="1:7" ht="14.4" hidden="1">
      <c r="A139" s="21"/>
      <c r="B139" s="22">
        <v>108</v>
      </c>
      <c r="C139" s="21" t="s">
        <v>515</v>
      </c>
      <c r="D139" s="21">
        <v>13</v>
      </c>
      <c r="E139" s="23">
        <v>13795</v>
      </c>
      <c r="G139" s="21" t="s">
        <v>300</v>
      </c>
    </row>
    <row r="140" spans="1:7" ht="14.4" hidden="1">
      <c r="A140" s="21"/>
      <c r="B140" s="22">
        <v>109</v>
      </c>
      <c r="C140" s="21" t="s">
        <v>518</v>
      </c>
      <c r="D140" s="21">
        <v>13</v>
      </c>
      <c r="E140" s="23">
        <v>13795</v>
      </c>
      <c r="G140" s="21" t="s">
        <v>310</v>
      </c>
    </row>
    <row r="141" spans="1:7" ht="14.4" hidden="1">
      <c r="A141" s="21"/>
      <c r="B141" s="21" t="s">
        <v>278</v>
      </c>
      <c r="C141" s="21" t="s">
        <v>523</v>
      </c>
      <c r="D141" s="21">
        <v>13</v>
      </c>
      <c r="E141" s="23">
        <v>13795</v>
      </c>
      <c r="G141" s="21" t="s">
        <v>310</v>
      </c>
    </row>
    <row r="142" spans="1:7" ht="14.4" hidden="1">
      <c r="A142" s="21"/>
      <c r="B142" s="22">
        <v>110</v>
      </c>
      <c r="C142" s="21" t="s">
        <v>525</v>
      </c>
      <c r="D142" s="21">
        <v>13</v>
      </c>
      <c r="E142" s="23">
        <v>13794</v>
      </c>
      <c r="G142" s="21" t="s">
        <v>282</v>
      </c>
    </row>
    <row r="143" spans="1:7" ht="14.4" hidden="1">
      <c r="A143" s="21"/>
      <c r="B143" s="22">
        <v>111</v>
      </c>
      <c r="C143" s="21" t="s">
        <v>529</v>
      </c>
      <c r="D143" s="21">
        <v>13</v>
      </c>
      <c r="E143" s="23">
        <v>13794</v>
      </c>
      <c r="G143" s="21" t="s">
        <v>287</v>
      </c>
    </row>
    <row r="144" spans="1:7" ht="14.4" hidden="1">
      <c r="A144" s="21"/>
      <c r="B144" s="22">
        <v>112</v>
      </c>
      <c r="C144" s="21" t="s">
        <v>531</v>
      </c>
      <c r="D144" s="21">
        <v>13</v>
      </c>
      <c r="E144" s="23">
        <v>13786</v>
      </c>
      <c r="G144" s="21" t="s">
        <v>310</v>
      </c>
    </row>
    <row r="145" spans="1:7" ht="14.4" hidden="1">
      <c r="A145" s="21"/>
      <c r="B145" s="22">
        <v>113</v>
      </c>
      <c r="C145" s="21" t="s">
        <v>536</v>
      </c>
      <c r="D145" s="21">
        <v>13</v>
      </c>
      <c r="E145" s="23">
        <v>13786</v>
      </c>
      <c r="G145" s="21" t="s">
        <v>310</v>
      </c>
    </row>
    <row r="146" spans="1:7" ht="14.4" hidden="1">
      <c r="A146" s="21"/>
      <c r="B146" s="22">
        <v>114</v>
      </c>
      <c r="C146" s="21" t="s">
        <v>540</v>
      </c>
      <c r="D146" s="21">
        <v>13</v>
      </c>
      <c r="E146" s="23">
        <v>13783</v>
      </c>
      <c r="G146" s="21" t="s">
        <v>274</v>
      </c>
    </row>
    <row r="147" spans="1:7" ht="14.4" hidden="1">
      <c r="A147" s="21"/>
      <c r="B147" s="22">
        <v>115</v>
      </c>
      <c r="C147" s="21" t="s">
        <v>544</v>
      </c>
      <c r="D147" s="21">
        <v>13</v>
      </c>
      <c r="E147" s="23">
        <v>13781</v>
      </c>
      <c r="G147" s="21" t="s">
        <v>300</v>
      </c>
    </row>
    <row r="148" spans="1:7" ht="14.4" hidden="1">
      <c r="A148" s="21"/>
      <c r="B148" s="22">
        <v>116</v>
      </c>
      <c r="C148" s="21" t="s">
        <v>548</v>
      </c>
      <c r="D148" s="21">
        <v>13</v>
      </c>
      <c r="E148" s="23">
        <v>13780</v>
      </c>
      <c r="G148" s="21" t="s">
        <v>310</v>
      </c>
    </row>
    <row r="149" spans="1:7" ht="14.4" hidden="1">
      <c r="A149" s="21"/>
      <c r="B149" s="22">
        <v>117</v>
      </c>
      <c r="C149" s="21" t="s">
        <v>552</v>
      </c>
      <c r="D149" s="21">
        <v>13</v>
      </c>
      <c r="E149" s="23">
        <v>13780</v>
      </c>
      <c r="G149" s="21" t="s">
        <v>274</v>
      </c>
    </row>
    <row r="150" spans="1:7" ht="14.4" hidden="1">
      <c r="A150" s="21"/>
      <c r="B150" s="21" t="s">
        <v>298</v>
      </c>
      <c r="C150" s="21" t="s">
        <v>556</v>
      </c>
      <c r="D150" s="21">
        <v>13</v>
      </c>
      <c r="E150" s="23">
        <v>13780</v>
      </c>
      <c r="G150" s="21" t="s">
        <v>287</v>
      </c>
    </row>
    <row r="151" spans="1:7" ht="14.4" hidden="1">
      <c r="A151" s="21"/>
      <c r="B151" s="21" t="s">
        <v>298</v>
      </c>
      <c r="C151" s="21" t="s">
        <v>560</v>
      </c>
      <c r="D151" s="21">
        <v>13</v>
      </c>
      <c r="E151" s="23">
        <v>13780</v>
      </c>
      <c r="G151" s="21" t="s">
        <v>300</v>
      </c>
    </row>
    <row r="152" spans="1:7" ht="14.4" hidden="1">
      <c r="A152" s="21"/>
      <c r="B152" s="22">
        <v>118</v>
      </c>
      <c r="C152" s="21" t="s">
        <v>563</v>
      </c>
      <c r="D152" s="21">
        <v>13</v>
      </c>
      <c r="E152" s="23">
        <v>13768</v>
      </c>
      <c r="G152" s="21" t="s">
        <v>274</v>
      </c>
    </row>
    <row r="153" spans="1:7" ht="14.4" hidden="1">
      <c r="A153" s="21"/>
      <c r="B153" s="22">
        <v>119</v>
      </c>
      <c r="C153" s="21" t="s">
        <v>568</v>
      </c>
      <c r="D153" s="21">
        <v>13</v>
      </c>
      <c r="E153" s="23">
        <v>13767</v>
      </c>
      <c r="G153" s="21" t="s">
        <v>310</v>
      </c>
    </row>
    <row r="154" spans="1:7" ht="14.4" hidden="1">
      <c r="A154" s="21"/>
      <c r="B154" s="22">
        <v>120</v>
      </c>
      <c r="C154" s="21" t="s">
        <v>571</v>
      </c>
      <c r="D154" s="21">
        <v>13</v>
      </c>
      <c r="E154" s="23">
        <v>13765</v>
      </c>
      <c r="G154" s="21" t="s">
        <v>310</v>
      </c>
    </row>
    <row r="155" spans="1:7" ht="14.4" hidden="1">
      <c r="A155" s="21"/>
      <c r="B155" s="22">
        <v>121</v>
      </c>
      <c r="C155" s="21" t="s">
        <v>574</v>
      </c>
      <c r="D155" s="21">
        <v>13</v>
      </c>
      <c r="E155" s="23">
        <v>13762</v>
      </c>
      <c r="G155" s="21" t="s">
        <v>274</v>
      </c>
    </row>
    <row r="156" spans="1:7" ht="14.4" hidden="1">
      <c r="A156" s="21"/>
      <c r="B156" s="22">
        <v>122</v>
      </c>
      <c r="C156" s="21" t="s">
        <v>578</v>
      </c>
      <c r="D156" s="21">
        <v>13</v>
      </c>
      <c r="E156" s="23">
        <v>13761</v>
      </c>
      <c r="G156" s="21" t="s">
        <v>274</v>
      </c>
    </row>
    <row r="157" spans="1:7" ht="14.4" hidden="1">
      <c r="A157" s="21"/>
      <c r="B157" s="22">
        <v>123</v>
      </c>
      <c r="C157" s="21" t="s">
        <v>582</v>
      </c>
      <c r="D157" s="21">
        <v>13</v>
      </c>
      <c r="E157" s="23">
        <v>13761</v>
      </c>
      <c r="G157" s="21" t="s">
        <v>274</v>
      </c>
    </row>
    <row r="158" spans="1:7" ht="14.4" hidden="1">
      <c r="A158" s="21"/>
      <c r="B158" s="21" t="s">
        <v>298</v>
      </c>
      <c r="C158" s="21" t="s">
        <v>585</v>
      </c>
      <c r="D158" s="21">
        <v>13</v>
      </c>
      <c r="E158" s="23">
        <v>13761</v>
      </c>
      <c r="G158" s="21" t="s">
        <v>310</v>
      </c>
    </row>
    <row r="159" spans="1:7" ht="14.4" hidden="1">
      <c r="A159" s="21"/>
      <c r="B159" s="22">
        <v>124</v>
      </c>
      <c r="C159" s="21" t="s">
        <v>588</v>
      </c>
      <c r="D159" s="21">
        <v>13</v>
      </c>
      <c r="E159" s="23">
        <v>13752</v>
      </c>
      <c r="G159" s="21" t="s">
        <v>310</v>
      </c>
    </row>
    <row r="160" spans="1:7" ht="14.4" hidden="1">
      <c r="A160" s="21"/>
      <c r="B160" s="22">
        <v>125</v>
      </c>
      <c r="C160" s="21" t="s">
        <v>590</v>
      </c>
      <c r="D160" s="21">
        <v>13</v>
      </c>
      <c r="E160" s="23">
        <v>13752</v>
      </c>
      <c r="G160" s="21" t="s">
        <v>310</v>
      </c>
    </row>
    <row r="161" spans="1:7" ht="14.4" hidden="1">
      <c r="A161" s="21"/>
      <c r="B161" s="22">
        <v>126</v>
      </c>
      <c r="C161" s="21" t="s">
        <v>596</v>
      </c>
      <c r="D161" s="21">
        <v>13</v>
      </c>
      <c r="E161" s="23">
        <v>13748</v>
      </c>
      <c r="G161" s="21" t="s">
        <v>300</v>
      </c>
    </row>
    <row r="162" spans="1:7" ht="14.4" hidden="1">
      <c r="A162" s="21"/>
      <c r="B162" s="22">
        <v>127</v>
      </c>
      <c r="C162" s="21" t="s">
        <v>599</v>
      </c>
      <c r="D162" s="21">
        <v>13</v>
      </c>
      <c r="E162" s="23">
        <v>13745</v>
      </c>
      <c r="G162" s="21" t="s">
        <v>274</v>
      </c>
    </row>
    <row r="163" spans="1:7" ht="14.4" hidden="1">
      <c r="A163" s="21"/>
      <c r="B163" s="22">
        <v>128</v>
      </c>
      <c r="C163" s="21" t="s">
        <v>605</v>
      </c>
      <c r="D163" s="21">
        <v>13</v>
      </c>
      <c r="E163" s="23">
        <v>13745</v>
      </c>
      <c r="G163" s="21" t="s">
        <v>310</v>
      </c>
    </row>
    <row r="164" spans="1:7" ht="14.4" hidden="1">
      <c r="A164" s="21"/>
      <c r="B164" s="21" t="s">
        <v>278</v>
      </c>
      <c r="C164" s="21" t="s">
        <v>607</v>
      </c>
      <c r="D164" s="21">
        <v>13</v>
      </c>
      <c r="E164" s="23">
        <v>13741</v>
      </c>
      <c r="G164" s="21" t="s">
        <v>310</v>
      </c>
    </row>
    <row r="165" spans="1:7" ht="14.4" hidden="1">
      <c r="A165" s="21"/>
      <c r="B165" s="21" t="s">
        <v>278</v>
      </c>
      <c r="C165" s="21" t="s">
        <v>609</v>
      </c>
      <c r="D165" s="21">
        <v>13</v>
      </c>
      <c r="E165" s="23">
        <v>13740</v>
      </c>
      <c r="G165" s="21" t="s">
        <v>310</v>
      </c>
    </row>
    <row r="166" spans="1:7" ht="14.4" hidden="1">
      <c r="A166" s="21"/>
      <c r="B166" s="21" t="s">
        <v>278</v>
      </c>
      <c r="C166" s="21" t="s">
        <v>611</v>
      </c>
      <c r="D166" s="21">
        <v>13</v>
      </c>
      <c r="E166" s="23">
        <v>13740</v>
      </c>
      <c r="G166" s="21" t="s">
        <v>310</v>
      </c>
    </row>
    <row r="167" spans="1:7" ht="14.4" hidden="1">
      <c r="A167" s="21"/>
      <c r="B167" s="21" t="s">
        <v>298</v>
      </c>
      <c r="C167" s="21" t="s">
        <v>613</v>
      </c>
      <c r="D167" s="21">
        <v>13</v>
      </c>
      <c r="E167" s="23">
        <v>13739</v>
      </c>
      <c r="G167" s="21" t="s">
        <v>300</v>
      </c>
    </row>
    <row r="168" spans="1:7" ht="14.4" hidden="1">
      <c r="A168" s="21"/>
      <c r="B168" s="22">
        <v>129</v>
      </c>
      <c r="C168" s="21" t="s">
        <v>616</v>
      </c>
      <c r="D168" s="21">
        <v>13</v>
      </c>
      <c r="E168" s="23">
        <v>13738</v>
      </c>
      <c r="G168" s="21" t="s">
        <v>274</v>
      </c>
    </row>
    <row r="169" spans="1:7" ht="14.4" hidden="1">
      <c r="A169" s="21" t="s">
        <v>377</v>
      </c>
      <c r="B169" s="22">
        <v>130</v>
      </c>
      <c r="C169" s="21" t="s">
        <v>619</v>
      </c>
      <c r="D169" s="21">
        <v>13</v>
      </c>
      <c r="E169" s="23">
        <v>13738</v>
      </c>
      <c r="G169" s="21" t="s">
        <v>310</v>
      </c>
    </row>
    <row r="170" spans="1:7" ht="14.4" hidden="1">
      <c r="A170" s="21"/>
      <c r="B170" s="22">
        <v>131</v>
      </c>
      <c r="C170" s="21" t="s">
        <v>621</v>
      </c>
      <c r="D170" s="21">
        <v>13</v>
      </c>
      <c r="E170" s="23">
        <v>13738</v>
      </c>
      <c r="G170" s="21" t="s">
        <v>287</v>
      </c>
    </row>
    <row r="171" spans="1:7" ht="14.4" hidden="1">
      <c r="A171" s="21"/>
      <c r="B171" s="22">
        <v>132</v>
      </c>
      <c r="C171" s="21" t="s">
        <v>624</v>
      </c>
      <c r="D171" s="21">
        <v>13</v>
      </c>
      <c r="E171" s="23">
        <v>13738</v>
      </c>
      <c r="G171" s="21" t="s">
        <v>310</v>
      </c>
    </row>
    <row r="172" spans="1:7" ht="14.4" hidden="1">
      <c r="A172" s="21"/>
      <c r="B172" s="22">
        <v>133</v>
      </c>
      <c r="C172" s="21" t="s">
        <v>626</v>
      </c>
      <c r="D172" s="21">
        <v>13</v>
      </c>
      <c r="E172" s="23">
        <v>13736</v>
      </c>
      <c r="G172" s="21" t="s">
        <v>274</v>
      </c>
    </row>
    <row r="173" spans="1:7" ht="14.4" hidden="1">
      <c r="A173" s="21"/>
      <c r="B173" s="22">
        <v>134</v>
      </c>
      <c r="C173" s="21" t="s">
        <v>628</v>
      </c>
      <c r="D173" s="21">
        <v>13</v>
      </c>
      <c r="E173" s="23">
        <v>13735</v>
      </c>
      <c r="G173" s="21" t="s">
        <v>310</v>
      </c>
    </row>
    <row r="174" spans="1:7" ht="14.4" hidden="1">
      <c r="A174" s="21"/>
      <c r="B174" s="22">
        <v>135</v>
      </c>
      <c r="C174" s="21" t="s">
        <v>630</v>
      </c>
      <c r="D174" s="21">
        <v>13</v>
      </c>
      <c r="E174" s="23">
        <v>13723</v>
      </c>
      <c r="G174" s="21" t="s">
        <v>282</v>
      </c>
    </row>
    <row r="175" spans="1:7" ht="14.4" hidden="1">
      <c r="A175" s="21"/>
      <c r="B175" s="22">
        <v>136</v>
      </c>
      <c r="C175" s="21" t="s">
        <v>633</v>
      </c>
      <c r="D175" s="21">
        <v>13</v>
      </c>
      <c r="E175" s="23">
        <v>13722</v>
      </c>
      <c r="G175" s="21" t="s">
        <v>310</v>
      </c>
    </row>
    <row r="176" spans="1:7" ht="14.4" hidden="1">
      <c r="A176" s="21"/>
      <c r="B176" s="22">
        <v>137</v>
      </c>
      <c r="C176" s="21" t="s">
        <v>638</v>
      </c>
      <c r="D176" s="21">
        <v>13</v>
      </c>
      <c r="E176" s="23">
        <v>13722</v>
      </c>
      <c r="G176" s="21" t="s">
        <v>337</v>
      </c>
    </row>
    <row r="177" spans="1:7" ht="14.4" hidden="1">
      <c r="A177" s="21"/>
      <c r="B177" s="22">
        <v>138</v>
      </c>
      <c r="C177" s="21" t="s">
        <v>642</v>
      </c>
      <c r="D177" s="21">
        <v>13</v>
      </c>
      <c r="E177" s="23">
        <v>13716</v>
      </c>
      <c r="G177" s="21" t="s">
        <v>310</v>
      </c>
    </row>
    <row r="178" spans="1:7" ht="14.4" hidden="1">
      <c r="A178" s="21"/>
      <c r="B178" s="22">
        <v>139</v>
      </c>
      <c r="C178" s="21" t="s">
        <v>646</v>
      </c>
      <c r="D178" s="21">
        <v>13</v>
      </c>
      <c r="E178" s="23">
        <v>13714</v>
      </c>
      <c r="G178" s="21" t="s">
        <v>310</v>
      </c>
    </row>
    <row r="179" spans="1:7" ht="14.4" hidden="1">
      <c r="A179" s="21"/>
      <c r="B179" s="22">
        <v>140</v>
      </c>
      <c r="C179" s="21" t="s">
        <v>650</v>
      </c>
      <c r="D179" s="21">
        <v>13</v>
      </c>
      <c r="E179" s="23">
        <v>13712</v>
      </c>
      <c r="G179" s="21" t="s">
        <v>274</v>
      </c>
    </row>
    <row r="180" spans="1:7" ht="14.4" hidden="1">
      <c r="A180" s="21"/>
      <c r="B180" s="22">
        <v>141</v>
      </c>
      <c r="C180" s="21" t="s">
        <v>652</v>
      </c>
      <c r="D180" s="21">
        <v>13</v>
      </c>
      <c r="E180" s="23">
        <v>13711</v>
      </c>
      <c r="G180" s="21" t="s">
        <v>274</v>
      </c>
    </row>
    <row r="181" spans="1:7" ht="14.4" hidden="1">
      <c r="A181" s="21"/>
      <c r="B181" s="21" t="s">
        <v>298</v>
      </c>
      <c r="C181" s="21" t="s">
        <v>656</v>
      </c>
      <c r="D181" s="21">
        <v>13</v>
      </c>
      <c r="E181" s="23">
        <v>13710</v>
      </c>
      <c r="G181" s="21" t="s">
        <v>310</v>
      </c>
    </row>
    <row r="182" spans="1:7" ht="14.4" hidden="1">
      <c r="A182" s="21" t="s">
        <v>377</v>
      </c>
      <c r="B182" s="22">
        <v>142</v>
      </c>
      <c r="C182" s="21" t="s">
        <v>661</v>
      </c>
      <c r="D182" s="21">
        <v>13</v>
      </c>
      <c r="E182" s="23">
        <v>13708</v>
      </c>
      <c r="G182" s="21" t="s">
        <v>274</v>
      </c>
    </row>
    <row r="183" spans="1:7" ht="14.4" hidden="1">
      <c r="A183" s="21"/>
      <c r="B183" s="21" t="s">
        <v>298</v>
      </c>
      <c r="C183" s="21" t="s">
        <v>663</v>
      </c>
      <c r="D183" s="21">
        <v>13</v>
      </c>
      <c r="E183" s="23">
        <v>13708</v>
      </c>
      <c r="G183" s="21" t="s">
        <v>310</v>
      </c>
    </row>
    <row r="184" spans="1:7" ht="14.4" hidden="1">
      <c r="A184" s="21"/>
      <c r="B184" s="22">
        <v>143</v>
      </c>
      <c r="C184" s="21" t="s">
        <v>667</v>
      </c>
      <c r="D184" s="21">
        <v>13</v>
      </c>
      <c r="E184" s="23">
        <v>13705</v>
      </c>
      <c r="G184" s="21" t="s">
        <v>282</v>
      </c>
    </row>
    <row r="185" spans="1:7" ht="14.4" hidden="1">
      <c r="A185" s="21"/>
      <c r="B185" s="22">
        <v>144</v>
      </c>
      <c r="C185" s="21" t="s">
        <v>670</v>
      </c>
      <c r="D185" s="21">
        <v>13</v>
      </c>
      <c r="E185" s="23">
        <v>13705</v>
      </c>
      <c r="G185" s="21" t="s">
        <v>310</v>
      </c>
    </row>
    <row r="186" spans="1:7" ht="14.4" hidden="1">
      <c r="A186" s="21"/>
      <c r="B186" s="21" t="s">
        <v>298</v>
      </c>
      <c r="C186" s="21" t="s">
        <v>674</v>
      </c>
      <c r="D186" s="21">
        <v>13</v>
      </c>
      <c r="E186" s="23">
        <v>13705</v>
      </c>
      <c r="G186" s="21" t="s">
        <v>310</v>
      </c>
    </row>
    <row r="187" spans="1:7" ht="14.4" hidden="1">
      <c r="A187" s="21"/>
      <c r="B187" s="21" t="s">
        <v>298</v>
      </c>
      <c r="C187" s="21" t="s">
        <v>678</v>
      </c>
      <c r="D187" s="21">
        <v>13</v>
      </c>
      <c r="E187" s="23">
        <v>13704</v>
      </c>
      <c r="G187" s="21" t="s">
        <v>310</v>
      </c>
    </row>
    <row r="188" spans="1:7" ht="14.4" hidden="1">
      <c r="A188" s="21"/>
      <c r="B188" s="21" t="s">
        <v>298</v>
      </c>
      <c r="C188" s="21" t="s">
        <v>681</v>
      </c>
      <c r="D188" s="21">
        <v>13</v>
      </c>
      <c r="E188" s="23">
        <v>13701</v>
      </c>
      <c r="G188" s="21" t="s">
        <v>300</v>
      </c>
    </row>
    <row r="189" spans="1:7" ht="14.4" hidden="1">
      <c r="A189" s="21" t="s">
        <v>377</v>
      </c>
      <c r="B189" s="22">
        <v>145</v>
      </c>
      <c r="C189" s="21" t="s">
        <v>682</v>
      </c>
      <c r="D189" s="21">
        <v>13</v>
      </c>
      <c r="E189" s="23">
        <v>13700</v>
      </c>
      <c r="G189" s="21" t="s">
        <v>310</v>
      </c>
    </row>
    <row r="190" spans="1:7" ht="14.4" hidden="1">
      <c r="A190" s="21"/>
      <c r="B190" s="22">
        <v>146</v>
      </c>
      <c r="C190" s="21" t="s">
        <v>683</v>
      </c>
      <c r="D190" s="21">
        <v>13</v>
      </c>
      <c r="E190" s="23">
        <v>13700</v>
      </c>
      <c r="G190" s="21" t="s">
        <v>310</v>
      </c>
    </row>
    <row r="191" spans="1:7" ht="14.4" hidden="1">
      <c r="A191" s="21"/>
      <c r="B191" s="22">
        <v>147</v>
      </c>
      <c r="C191" s="21" t="s">
        <v>684</v>
      </c>
      <c r="D191" s="21">
        <v>13</v>
      </c>
      <c r="E191" s="23">
        <v>13698</v>
      </c>
      <c r="G191" s="21" t="s">
        <v>310</v>
      </c>
    </row>
    <row r="192" spans="1:7" ht="14.4" hidden="1">
      <c r="A192" s="21"/>
      <c r="B192" s="22">
        <v>148</v>
      </c>
      <c r="C192" s="21" t="s">
        <v>685</v>
      </c>
      <c r="D192" s="21">
        <v>13</v>
      </c>
      <c r="E192" s="23">
        <v>13695</v>
      </c>
      <c r="G192" s="21" t="s">
        <v>310</v>
      </c>
    </row>
    <row r="193" spans="1:7" ht="14.4" hidden="1">
      <c r="A193" s="21"/>
      <c r="B193" s="22">
        <v>149</v>
      </c>
      <c r="C193" s="21" t="s">
        <v>686</v>
      </c>
      <c r="D193" s="21">
        <v>13</v>
      </c>
      <c r="E193" s="23">
        <v>13694</v>
      </c>
      <c r="G193" s="21" t="s">
        <v>310</v>
      </c>
    </row>
    <row r="194" spans="1:7" ht="14.4" hidden="1">
      <c r="A194" s="21"/>
      <c r="B194" s="21" t="s">
        <v>278</v>
      </c>
      <c r="C194" s="21" t="s">
        <v>687</v>
      </c>
      <c r="D194" s="21">
        <v>13</v>
      </c>
      <c r="E194" s="23">
        <v>13694</v>
      </c>
      <c r="G194" s="21" t="s">
        <v>310</v>
      </c>
    </row>
    <row r="195" spans="1:7" ht="14.4" hidden="1">
      <c r="A195" s="21"/>
      <c r="B195" s="22">
        <v>150</v>
      </c>
      <c r="C195" s="21" t="s">
        <v>688</v>
      </c>
      <c r="D195" s="21">
        <v>13</v>
      </c>
      <c r="E195" s="23">
        <v>13693</v>
      </c>
      <c r="G195" s="21" t="s">
        <v>310</v>
      </c>
    </row>
    <row r="196" spans="1:7" ht="14.4" hidden="1">
      <c r="A196" s="21"/>
      <c r="B196" s="21" t="s">
        <v>298</v>
      </c>
      <c r="C196" s="21" t="s">
        <v>689</v>
      </c>
      <c r="D196" s="21">
        <v>13</v>
      </c>
      <c r="E196" s="23">
        <v>13692</v>
      </c>
      <c r="G196" s="21" t="s">
        <v>300</v>
      </c>
    </row>
    <row r="197" spans="1:7" ht="14.4" hidden="1">
      <c r="A197" s="21"/>
      <c r="B197" s="22">
        <v>151</v>
      </c>
      <c r="C197" s="21" t="s">
        <v>690</v>
      </c>
      <c r="D197" s="21">
        <v>13</v>
      </c>
      <c r="E197" s="23">
        <v>13691</v>
      </c>
      <c r="G197" s="21" t="s">
        <v>310</v>
      </c>
    </row>
    <row r="198" spans="1:7" ht="14.4" hidden="1">
      <c r="A198" s="21"/>
      <c r="B198" s="22">
        <v>152</v>
      </c>
      <c r="C198" s="21" t="s">
        <v>691</v>
      </c>
      <c r="D198" s="21">
        <v>13</v>
      </c>
      <c r="E198" s="23">
        <v>13690</v>
      </c>
      <c r="G198" s="21" t="s">
        <v>343</v>
      </c>
    </row>
    <row r="199" spans="1:7" ht="14.4" hidden="1">
      <c r="A199" s="21"/>
      <c r="B199" s="22">
        <v>153</v>
      </c>
      <c r="C199" s="21" t="s">
        <v>692</v>
      </c>
      <c r="D199" s="21">
        <v>13</v>
      </c>
      <c r="E199" s="23">
        <v>13688</v>
      </c>
      <c r="G199" s="21" t="s">
        <v>310</v>
      </c>
    </row>
    <row r="200" spans="1:7" ht="14.4" hidden="1">
      <c r="A200" s="21"/>
      <c r="B200" s="22">
        <v>154</v>
      </c>
      <c r="C200" s="21" t="s">
        <v>693</v>
      </c>
      <c r="D200" s="21">
        <v>13</v>
      </c>
      <c r="E200" s="23">
        <v>13688</v>
      </c>
      <c r="G200" s="21" t="s">
        <v>310</v>
      </c>
    </row>
    <row r="201" spans="1:7" ht="14.4" hidden="1">
      <c r="A201" s="21"/>
      <c r="B201" s="22">
        <v>155</v>
      </c>
      <c r="C201" s="21" t="s">
        <v>694</v>
      </c>
      <c r="D201" s="21">
        <v>13</v>
      </c>
      <c r="E201" s="23">
        <v>13686</v>
      </c>
      <c r="G201" s="21" t="s">
        <v>310</v>
      </c>
    </row>
    <row r="202" spans="1:7" ht="14.4" hidden="1">
      <c r="A202" s="21"/>
      <c r="B202" s="22">
        <v>156</v>
      </c>
      <c r="C202" s="21" t="s">
        <v>695</v>
      </c>
      <c r="D202" s="21">
        <v>13</v>
      </c>
      <c r="E202" s="23">
        <v>13684</v>
      </c>
      <c r="G202" s="21" t="s">
        <v>287</v>
      </c>
    </row>
    <row r="203" spans="1:7" ht="14.4" hidden="1">
      <c r="A203" s="21"/>
      <c r="B203" s="22">
        <v>157</v>
      </c>
      <c r="C203" s="21" t="s">
        <v>696</v>
      </c>
      <c r="D203" s="21">
        <v>13</v>
      </c>
      <c r="E203" s="23">
        <v>13684</v>
      </c>
      <c r="G203" s="21" t="s">
        <v>310</v>
      </c>
    </row>
    <row r="204" spans="1:7" ht="14.4" hidden="1">
      <c r="A204" s="21"/>
      <c r="B204" s="21" t="s">
        <v>298</v>
      </c>
      <c r="C204" s="21" t="s">
        <v>697</v>
      </c>
      <c r="D204" s="21">
        <v>13</v>
      </c>
      <c r="E204" s="23">
        <v>13684</v>
      </c>
      <c r="G204" s="21" t="s">
        <v>300</v>
      </c>
    </row>
    <row r="205" spans="1:7" ht="14.4" hidden="1">
      <c r="A205" s="21"/>
      <c r="B205" s="22">
        <v>158</v>
      </c>
      <c r="C205" s="21" t="s">
        <v>698</v>
      </c>
      <c r="D205" s="21">
        <v>13</v>
      </c>
      <c r="E205" s="23">
        <v>13682</v>
      </c>
      <c r="G205" s="21" t="s">
        <v>310</v>
      </c>
    </row>
    <row r="206" spans="1:7" ht="14.4" hidden="1">
      <c r="A206" s="21"/>
      <c r="B206" s="22">
        <v>159</v>
      </c>
      <c r="C206" s="21" t="s">
        <v>699</v>
      </c>
      <c r="D206" s="21">
        <v>13</v>
      </c>
      <c r="E206" s="23">
        <v>13681</v>
      </c>
      <c r="G206" s="21" t="s">
        <v>310</v>
      </c>
    </row>
    <row r="207" spans="1:7" ht="14.4" hidden="1">
      <c r="A207" s="21"/>
      <c r="B207" s="22">
        <v>160</v>
      </c>
      <c r="C207" s="21" t="s">
        <v>700</v>
      </c>
      <c r="D207" s="21">
        <v>13</v>
      </c>
      <c r="E207" s="23">
        <v>13676</v>
      </c>
      <c r="G207" s="21" t="s">
        <v>282</v>
      </c>
    </row>
    <row r="208" spans="1:7" ht="14.4" hidden="1">
      <c r="A208" s="21"/>
      <c r="B208" s="22">
        <v>161</v>
      </c>
      <c r="C208" s="21" t="s">
        <v>701</v>
      </c>
      <c r="D208" s="21">
        <v>13</v>
      </c>
      <c r="E208" s="23">
        <v>13674</v>
      </c>
      <c r="G208" s="21" t="s">
        <v>310</v>
      </c>
    </row>
    <row r="209" spans="1:7" ht="14.4" hidden="1">
      <c r="A209" s="21"/>
      <c r="B209" s="22">
        <v>162</v>
      </c>
      <c r="C209" s="21" t="s">
        <v>702</v>
      </c>
      <c r="D209" s="21">
        <v>13</v>
      </c>
      <c r="E209" s="23">
        <v>13672</v>
      </c>
      <c r="G209" s="21" t="s">
        <v>300</v>
      </c>
    </row>
    <row r="210" spans="1:7" ht="14.4" hidden="1">
      <c r="A210" s="21"/>
      <c r="B210" s="22">
        <v>163</v>
      </c>
      <c r="C210" s="21" t="s">
        <v>703</v>
      </c>
      <c r="D210" s="21">
        <v>13</v>
      </c>
      <c r="E210" s="23">
        <v>13670</v>
      </c>
      <c r="G210" s="21" t="s">
        <v>274</v>
      </c>
    </row>
    <row r="211" spans="1:7" ht="14.4" hidden="1">
      <c r="A211" s="21"/>
      <c r="B211" s="22">
        <v>164</v>
      </c>
      <c r="C211" s="21" t="s">
        <v>704</v>
      </c>
      <c r="D211" s="21">
        <v>13</v>
      </c>
      <c r="E211" s="23">
        <v>13667</v>
      </c>
      <c r="G211" s="21" t="s">
        <v>274</v>
      </c>
    </row>
    <row r="212" spans="1:7" ht="14.4" hidden="1">
      <c r="A212" s="21"/>
      <c r="B212" s="21" t="s">
        <v>278</v>
      </c>
      <c r="C212" s="21" t="s">
        <v>705</v>
      </c>
      <c r="D212" s="21">
        <v>13</v>
      </c>
      <c r="E212" s="23">
        <v>13664</v>
      </c>
      <c r="G212" s="21" t="s">
        <v>337</v>
      </c>
    </row>
    <row r="213" spans="1:7" ht="14.4" hidden="1">
      <c r="A213" s="21"/>
      <c r="B213" s="22">
        <v>165</v>
      </c>
      <c r="C213" s="21" t="s">
        <v>706</v>
      </c>
      <c r="D213" s="21">
        <v>13</v>
      </c>
      <c r="E213" s="23">
        <v>13663</v>
      </c>
      <c r="G213" s="21" t="s">
        <v>274</v>
      </c>
    </row>
    <row r="214" spans="1:7" ht="14.4" hidden="1">
      <c r="A214" s="21"/>
      <c r="B214" s="22">
        <v>166</v>
      </c>
      <c r="C214" s="21" t="s">
        <v>707</v>
      </c>
      <c r="D214" s="21">
        <v>13</v>
      </c>
      <c r="E214" s="23">
        <v>13661</v>
      </c>
      <c r="G214" s="21" t="s">
        <v>310</v>
      </c>
    </row>
    <row r="215" spans="1:7" ht="14.4" hidden="1">
      <c r="A215" s="21"/>
      <c r="B215" s="22">
        <v>167</v>
      </c>
      <c r="C215" s="21" t="s">
        <v>708</v>
      </c>
      <c r="D215" s="21">
        <v>13</v>
      </c>
      <c r="E215" s="23">
        <v>13660</v>
      </c>
      <c r="G215" s="21" t="s">
        <v>310</v>
      </c>
    </row>
    <row r="216" spans="1:7" ht="14.4" hidden="1">
      <c r="A216" s="21"/>
      <c r="B216" s="22">
        <v>168</v>
      </c>
      <c r="C216" s="21" t="s">
        <v>709</v>
      </c>
      <c r="D216" s="21">
        <v>13</v>
      </c>
      <c r="E216" s="23">
        <v>13660</v>
      </c>
      <c r="G216" s="21" t="s">
        <v>282</v>
      </c>
    </row>
    <row r="217" spans="1:7" ht="14.4" hidden="1">
      <c r="A217" s="21"/>
      <c r="B217" s="22">
        <v>169</v>
      </c>
      <c r="C217" s="21" t="s">
        <v>710</v>
      </c>
      <c r="D217" s="21">
        <v>13</v>
      </c>
      <c r="E217" s="23">
        <v>13660</v>
      </c>
      <c r="G217" s="21" t="s">
        <v>310</v>
      </c>
    </row>
    <row r="218" spans="1:7" ht="14.4" hidden="1">
      <c r="A218" s="21"/>
      <c r="B218" s="21" t="s">
        <v>298</v>
      </c>
      <c r="C218" s="21" t="s">
        <v>711</v>
      </c>
      <c r="D218" s="21">
        <v>13</v>
      </c>
      <c r="E218" s="23">
        <v>13660</v>
      </c>
      <c r="G218" s="21" t="s">
        <v>274</v>
      </c>
    </row>
    <row r="219" spans="1:7" ht="14.4" hidden="1">
      <c r="A219" s="21"/>
      <c r="B219" s="21" t="s">
        <v>298</v>
      </c>
      <c r="C219" s="21" t="s">
        <v>712</v>
      </c>
      <c r="D219" s="21">
        <v>13</v>
      </c>
      <c r="E219" s="23">
        <v>13658</v>
      </c>
      <c r="G219" s="21" t="s">
        <v>282</v>
      </c>
    </row>
    <row r="220" spans="1:7" ht="14.4" hidden="1">
      <c r="A220" s="21"/>
      <c r="B220" s="22">
        <v>170</v>
      </c>
      <c r="C220" s="21" t="s">
        <v>713</v>
      </c>
      <c r="D220" s="21">
        <v>13</v>
      </c>
      <c r="E220" s="23">
        <v>13657</v>
      </c>
      <c r="G220" s="21" t="s">
        <v>310</v>
      </c>
    </row>
    <row r="221" spans="1:7" ht="14.4" hidden="1">
      <c r="A221" s="21"/>
      <c r="B221" s="22">
        <v>171</v>
      </c>
      <c r="C221" s="21" t="s">
        <v>714</v>
      </c>
      <c r="D221" s="21">
        <v>13</v>
      </c>
      <c r="E221" s="23">
        <v>13656</v>
      </c>
      <c r="G221" s="21" t="s">
        <v>310</v>
      </c>
    </row>
    <row r="222" spans="1:7" ht="14.4" hidden="1">
      <c r="A222" s="21"/>
      <c r="B222" s="22">
        <v>172</v>
      </c>
      <c r="C222" s="21" t="s">
        <v>715</v>
      </c>
      <c r="D222" s="21">
        <v>13</v>
      </c>
      <c r="E222" s="23">
        <v>13651</v>
      </c>
      <c r="G222" s="21" t="s">
        <v>274</v>
      </c>
    </row>
    <row r="223" spans="1:7" ht="14.4" hidden="1">
      <c r="A223" s="21"/>
      <c r="B223" s="22">
        <v>173</v>
      </c>
      <c r="C223" s="21" t="s">
        <v>716</v>
      </c>
      <c r="D223" s="21">
        <v>13</v>
      </c>
      <c r="E223" s="23">
        <v>13646</v>
      </c>
      <c r="G223" s="21" t="s">
        <v>274</v>
      </c>
    </row>
    <row r="224" spans="1:7" ht="14.4" hidden="1">
      <c r="A224" s="21"/>
      <c r="B224" s="22">
        <v>174</v>
      </c>
      <c r="C224" s="21" t="s">
        <v>717</v>
      </c>
      <c r="D224" s="21">
        <v>13</v>
      </c>
      <c r="E224" s="23">
        <v>13646</v>
      </c>
      <c r="G224" s="21" t="s">
        <v>274</v>
      </c>
    </row>
    <row r="225" spans="1:7" ht="14.4" hidden="1">
      <c r="A225" s="21"/>
      <c r="B225" s="22">
        <v>175</v>
      </c>
      <c r="C225" s="21" t="s">
        <v>718</v>
      </c>
      <c r="D225" s="21">
        <v>13</v>
      </c>
      <c r="E225" s="23">
        <v>13642</v>
      </c>
      <c r="G225" s="21" t="s">
        <v>310</v>
      </c>
    </row>
    <row r="226" spans="1:7" ht="14.4" hidden="1">
      <c r="A226" s="21"/>
      <c r="B226" s="22">
        <v>176</v>
      </c>
      <c r="C226" s="21" t="s">
        <v>719</v>
      </c>
      <c r="D226" s="21">
        <v>13</v>
      </c>
      <c r="E226" s="23">
        <v>13641</v>
      </c>
      <c r="G226" s="21" t="s">
        <v>287</v>
      </c>
    </row>
    <row r="227" spans="1:7" ht="14.4" hidden="1">
      <c r="A227" s="21"/>
      <c r="B227" s="22">
        <v>177</v>
      </c>
      <c r="C227" s="21" t="s">
        <v>720</v>
      </c>
      <c r="D227" s="21">
        <v>13</v>
      </c>
      <c r="E227" s="23">
        <v>13635</v>
      </c>
      <c r="G227" s="21" t="s">
        <v>337</v>
      </c>
    </row>
    <row r="228" spans="1:7" ht="14.4" hidden="1">
      <c r="A228" s="21"/>
      <c r="B228" s="22">
        <v>178</v>
      </c>
      <c r="C228" s="21" t="s">
        <v>721</v>
      </c>
      <c r="D228" s="21">
        <v>13</v>
      </c>
      <c r="E228" s="23">
        <v>13633</v>
      </c>
      <c r="G228" s="21" t="s">
        <v>343</v>
      </c>
    </row>
    <row r="229" spans="1:7" ht="14.4" hidden="1">
      <c r="A229" s="21"/>
      <c r="B229" s="22">
        <v>179</v>
      </c>
      <c r="C229" s="21" t="s">
        <v>722</v>
      </c>
      <c r="D229" s="21">
        <v>13</v>
      </c>
      <c r="E229" s="23">
        <v>13631</v>
      </c>
      <c r="G229" s="21" t="s">
        <v>274</v>
      </c>
    </row>
    <row r="230" spans="1:7" ht="14.4" hidden="1">
      <c r="A230" s="21"/>
      <c r="B230" s="22">
        <v>180</v>
      </c>
      <c r="C230" s="21" t="s">
        <v>723</v>
      </c>
      <c r="D230" s="21">
        <v>13</v>
      </c>
      <c r="E230" s="23">
        <v>13631</v>
      </c>
      <c r="G230" s="21" t="s">
        <v>337</v>
      </c>
    </row>
    <row r="231" spans="1:7" ht="14.4" hidden="1">
      <c r="A231" s="21"/>
      <c r="B231" s="21" t="s">
        <v>278</v>
      </c>
      <c r="C231" s="21" t="s">
        <v>724</v>
      </c>
      <c r="D231" s="21">
        <v>13</v>
      </c>
      <c r="E231" s="23">
        <v>13630</v>
      </c>
      <c r="G231" s="21" t="s">
        <v>274</v>
      </c>
    </row>
    <row r="232" spans="1:7" ht="14.4" hidden="1">
      <c r="A232" s="21"/>
      <c r="B232" s="22">
        <v>181</v>
      </c>
      <c r="C232" s="21" t="s">
        <v>725</v>
      </c>
      <c r="D232" s="21">
        <v>13</v>
      </c>
      <c r="E232" s="23">
        <v>13628</v>
      </c>
      <c r="G232" s="21" t="s">
        <v>310</v>
      </c>
    </row>
    <row r="233" spans="1:7" ht="14.4" hidden="1">
      <c r="A233" s="21"/>
      <c r="B233" s="22">
        <v>182</v>
      </c>
      <c r="C233" s="21" t="s">
        <v>726</v>
      </c>
      <c r="D233" s="21">
        <v>13</v>
      </c>
      <c r="E233" s="23">
        <v>13627</v>
      </c>
      <c r="G233" s="21" t="s">
        <v>310</v>
      </c>
    </row>
    <row r="234" spans="1:7" ht="14.4" hidden="1">
      <c r="A234" s="21"/>
      <c r="B234" s="22">
        <v>183</v>
      </c>
      <c r="C234" s="21" t="s">
        <v>727</v>
      </c>
      <c r="D234" s="21">
        <v>13</v>
      </c>
      <c r="E234" s="23">
        <v>13626</v>
      </c>
      <c r="G234" s="21" t="s">
        <v>282</v>
      </c>
    </row>
    <row r="235" spans="1:7" ht="14.4" hidden="1">
      <c r="A235" s="21"/>
      <c r="B235" s="22">
        <v>184</v>
      </c>
      <c r="C235" s="21" t="s">
        <v>728</v>
      </c>
      <c r="D235" s="21">
        <v>13</v>
      </c>
      <c r="E235" s="23">
        <v>13626</v>
      </c>
      <c r="G235" s="21" t="s">
        <v>274</v>
      </c>
    </row>
    <row r="236" spans="1:7" ht="14.4" hidden="1">
      <c r="A236" s="21"/>
      <c r="B236" s="21" t="s">
        <v>298</v>
      </c>
      <c r="C236" s="21" t="s">
        <v>729</v>
      </c>
      <c r="D236" s="21">
        <v>13</v>
      </c>
      <c r="E236" s="23">
        <v>13620</v>
      </c>
      <c r="G236" s="21" t="s">
        <v>337</v>
      </c>
    </row>
    <row r="237" spans="1:7" ht="14.4" hidden="1">
      <c r="A237" s="21"/>
      <c r="B237" s="21" t="s">
        <v>278</v>
      </c>
      <c r="C237" s="21" t="s">
        <v>730</v>
      </c>
      <c r="D237" s="21">
        <v>13</v>
      </c>
      <c r="E237" s="23">
        <v>13620</v>
      </c>
      <c r="G237" s="21" t="s">
        <v>310</v>
      </c>
    </row>
    <row r="238" spans="1:7" ht="14.4" hidden="1">
      <c r="A238" s="21"/>
      <c r="B238" s="22">
        <v>185</v>
      </c>
      <c r="C238" s="21" t="s">
        <v>731</v>
      </c>
      <c r="D238" s="21">
        <v>13</v>
      </c>
      <c r="E238" s="23">
        <v>13617</v>
      </c>
      <c r="G238" s="21" t="s">
        <v>310</v>
      </c>
    </row>
    <row r="239" spans="1:7" ht="14.4" hidden="1">
      <c r="A239" s="21"/>
      <c r="B239" s="22">
        <v>186</v>
      </c>
      <c r="C239" s="21" t="s">
        <v>732</v>
      </c>
      <c r="D239" s="21">
        <v>13</v>
      </c>
      <c r="E239" s="23">
        <v>13616</v>
      </c>
      <c r="G239" s="21" t="s">
        <v>274</v>
      </c>
    </row>
    <row r="240" spans="1:7" ht="14.4" hidden="1">
      <c r="A240" s="21"/>
      <c r="B240" s="21" t="s">
        <v>298</v>
      </c>
      <c r="C240" s="21" t="s">
        <v>733</v>
      </c>
      <c r="D240" s="21">
        <v>13</v>
      </c>
      <c r="E240" s="23">
        <v>13615</v>
      </c>
      <c r="G240" s="21" t="s">
        <v>343</v>
      </c>
    </row>
    <row r="241" spans="1:7" ht="14.4" hidden="1">
      <c r="A241" s="21"/>
      <c r="B241" s="22">
        <v>187</v>
      </c>
      <c r="C241" s="21" t="s">
        <v>734</v>
      </c>
      <c r="D241" s="21">
        <v>13</v>
      </c>
      <c r="E241" s="23">
        <v>13614</v>
      </c>
      <c r="G241" s="21" t="s">
        <v>343</v>
      </c>
    </row>
    <row r="242" spans="1:7" ht="14.4" hidden="1">
      <c r="A242" s="21"/>
      <c r="B242" s="21" t="s">
        <v>278</v>
      </c>
      <c r="C242" s="21" t="s">
        <v>735</v>
      </c>
      <c r="D242" s="21">
        <v>13</v>
      </c>
      <c r="E242" s="23">
        <v>13614</v>
      </c>
      <c r="G242" s="21" t="s">
        <v>310</v>
      </c>
    </row>
    <row r="243" spans="1:7" ht="14.4" hidden="1">
      <c r="A243" s="21"/>
      <c r="B243" s="22">
        <v>188</v>
      </c>
      <c r="C243" s="21" t="s">
        <v>736</v>
      </c>
      <c r="D243" s="21">
        <v>13</v>
      </c>
      <c r="E243" s="23">
        <v>13611</v>
      </c>
      <c r="G243" s="21" t="s">
        <v>282</v>
      </c>
    </row>
    <row r="244" spans="1:7" ht="14.4" hidden="1">
      <c r="A244" s="21"/>
      <c r="B244" s="22">
        <v>189</v>
      </c>
      <c r="C244" s="21" t="s">
        <v>737</v>
      </c>
      <c r="D244" s="21">
        <v>13</v>
      </c>
      <c r="E244" s="23">
        <v>13604</v>
      </c>
      <c r="G244" s="21" t="s">
        <v>282</v>
      </c>
    </row>
    <row r="245" spans="1:7" ht="14.4" hidden="1">
      <c r="A245" s="21"/>
      <c r="B245" s="21" t="s">
        <v>298</v>
      </c>
      <c r="C245" s="21" t="s">
        <v>738</v>
      </c>
      <c r="D245" s="21">
        <v>13</v>
      </c>
      <c r="E245" s="23">
        <v>13604</v>
      </c>
      <c r="G245" s="21" t="s">
        <v>274</v>
      </c>
    </row>
    <row r="246" spans="1:7" ht="14.4" hidden="1">
      <c r="A246" s="21"/>
      <c r="B246" s="22">
        <v>190</v>
      </c>
      <c r="C246" s="21" t="s">
        <v>739</v>
      </c>
      <c r="D246" s="21">
        <v>13</v>
      </c>
      <c r="E246" s="23">
        <v>13602</v>
      </c>
      <c r="G246" s="21" t="s">
        <v>287</v>
      </c>
    </row>
    <row r="247" spans="1:7" ht="14.4" hidden="1">
      <c r="A247" s="21"/>
      <c r="B247" s="21" t="s">
        <v>278</v>
      </c>
      <c r="C247" s="21" t="s">
        <v>740</v>
      </c>
      <c r="D247" s="21">
        <v>13</v>
      </c>
      <c r="E247" s="23">
        <v>13599</v>
      </c>
      <c r="G247" s="21" t="s">
        <v>310</v>
      </c>
    </row>
    <row r="248" spans="1:7" ht="14.4" hidden="1">
      <c r="A248" s="21"/>
      <c r="B248" s="22">
        <v>191</v>
      </c>
      <c r="C248" s="21" t="s">
        <v>741</v>
      </c>
      <c r="D248" s="21">
        <v>13</v>
      </c>
      <c r="E248" s="23">
        <v>13598</v>
      </c>
      <c r="G248" s="21" t="s">
        <v>282</v>
      </c>
    </row>
    <row r="249" spans="1:7" ht="14.4" hidden="1">
      <c r="A249" s="21"/>
      <c r="B249" s="22">
        <v>192</v>
      </c>
      <c r="C249" s="21" t="s">
        <v>742</v>
      </c>
      <c r="D249" s="21">
        <v>13</v>
      </c>
      <c r="E249" s="23">
        <v>13596</v>
      </c>
      <c r="G249" s="21" t="s">
        <v>274</v>
      </c>
    </row>
    <row r="250" spans="1:7" ht="14.4" hidden="1">
      <c r="A250" s="21"/>
      <c r="B250" s="21" t="s">
        <v>278</v>
      </c>
      <c r="C250" s="21" t="s">
        <v>743</v>
      </c>
      <c r="D250" s="21">
        <v>13</v>
      </c>
      <c r="E250" s="23">
        <v>13591</v>
      </c>
      <c r="G250" s="21" t="s">
        <v>274</v>
      </c>
    </row>
    <row r="251" spans="1:7" ht="14.4" hidden="1">
      <c r="A251" s="21"/>
      <c r="B251" s="22">
        <v>193</v>
      </c>
      <c r="C251" s="21" t="s">
        <v>744</v>
      </c>
      <c r="D251" s="21">
        <v>13</v>
      </c>
      <c r="E251" s="23">
        <v>13590</v>
      </c>
      <c r="G251" s="21" t="s">
        <v>310</v>
      </c>
    </row>
    <row r="252" spans="1:7" ht="14.4" hidden="1">
      <c r="A252" s="21"/>
      <c r="B252" s="22">
        <v>194</v>
      </c>
      <c r="C252" s="21" t="s">
        <v>745</v>
      </c>
      <c r="D252" s="21">
        <v>13</v>
      </c>
      <c r="E252" s="23">
        <v>13589</v>
      </c>
      <c r="G252" s="21" t="s">
        <v>310</v>
      </c>
    </row>
    <row r="253" spans="1:7" ht="14.4" hidden="1">
      <c r="A253" s="21"/>
      <c r="B253" s="22">
        <v>195</v>
      </c>
      <c r="C253" s="21" t="s">
        <v>746</v>
      </c>
      <c r="D253" s="21">
        <v>13</v>
      </c>
      <c r="E253" s="23">
        <v>13588</v>
      </c>
      <c r="G253" s="21" t="s">
        <v>282</v>
      </c>
    </row>
    <row r="254" spans="1:7" ht="14.4" hidden="1">
      <c r="A254" s="21"/>
      <c r="B254" s="21" t="s">
        <v>298</v>
      </c>
      <c r="C254" s="21" t="s">
        <v>747</v>
      </c>
      <c r="D254" s="21">
        <v>13</v>
      </c>
      <c r="E254" s="23">
        <v>13588</v>
      </c>
      <c r="G254" s="21" t="s">
        <v>274</v>
      </c>
    </row>
    <row r="255" spans="1:7" ht="14.4" hidden="1">
      <c r="A255" s="21"/>
      <c r="B255" s="21" t="s">
        <v>298</v>
      </c>
      <c r="C255" s="21" t="s">
        <v>748</v>
      </c>
      <c r="D255" s="21">
        <v>13</v>
      </c>
      <c r="E255" s="23">
        <v>13587</v>
      </c>
      <c r="G255" s="21" t="s">
        <v>287</v>
      </c>
    </row>
    <row r="256" spans="1:7" ht="14.4" hidden="1">
      <c r="A256" s="21"/>
      <c r="B256" s="22">
        <v>196</v>
      </c>
      <c r="C256" s="21" t="s">
        <v>749</v>
      </c>
      <c r="D256" s="21">
        <v>13</v>
      </c>
      <c r="E256" s="23">
        <v>13581</v>
      </c>
      <c r="G256" s="21" t="s">
        <v>310</v>
      </c>
    </row>
    <row r="257" spans="1:7" ht="14.4" hidden="1">
      <c r="A257" s="21"/>
      <c r="B257" s="22">
        <v>197</v>
      </c>
      <c r="C257" s="21" t="s">
        <v>750</v>
      </c>
      <c r="D257" s="21">
        <v>13</v>
      </c>
      <c r="E257" s="23">
        <v>13581</v>
      </c>
      <c r="G257" s="21" t="s">
        <v>310</v>
      </c>
    </row>
    <row r="258" spans="1:7" ht="14.4" hidden="1">
      <c r="A258" s="21"/>
      <c r="B258" s="22">
        <v>198</v>
      </c>
      <c r="C258" s="21" t="s">
        <v>751</v>
      </c>
      <c r="D258" s="21">
        <v>13</v>
      </c>
      <c r="E258" s="23">
        <v>13580</v>
      </c>
      <c r="G258" s="21" t="s">
        <v>752</v>
      </c>
    </row>
    <row r="259" spans="1:7" ht="14.4" hidden="1">
      <c r="A259" s="21"/>
      <c r="B259" s="22">
        <v>199</v>
      </c>
      <c r="C259" s="21" t="s">
        <v>753</v>
      </c>
      <c r="D259" s="21">
        <v>13</v>
      </c>
      <c r="E259" s="23">
        <v>13580</v>
      </c>
      <c r="G259" s="21" t="s">
        <v>282</v>
      </c>
    </row>
    <row r="260" spans="1:7" ht="14.4" hidden="1">
      <c r="A260" s="21"/>
      <c r="B260" s="22">
        <v>201</v>
      </c>
      <c r="C260" s="21" t="s">
        <v>754</v>
      </c>
      <c r="D260" s="21">
        <v>13</v>
      </c>
      <c r="E260" s="23">
        <v>13580</v>
      </c>
      <c r="G260" s="21" t="s">
        <v>282</v>
      </c>
    </row>
    <row r="261" spans="1:7" ht="14.4" hidden="1">
      <c r="A261" s="21"/>
      <c r="B261" s="22">
        <v>200</v>
      </c>
      <c r="C261" s="21" t="s">
        <v>755</v>
      </c>
      <c r="D261" s="21">
        <v>13</v>
      </c>
      <c r="E261" s="23">
        <v>13580</v>
      </c>
      <c r="G261" s="21" t="s">
        <v>337</v>
      </c>
    </row>
    <row r="262" spans="1:7" ht="14.4" hidden="1">
      <c r="A262" s="21"/>
      <c r="B262" s="22">
        <v>202</v>
      </c>
      <c r="C262" s="21" t="s">
        <v>756</v>
      </c>
      <c r="D262" s="21">
        <v>13</v>
      </c>
      <c r="E262" s="23">
        <v>13580</v>
      </c>
      <c r="G262" s="21" t="s">
        <v>310</v>
      </c>
    </row>
    <row r="263" spans="1:7" ht="14.4" hidden="1">
      <c r="A263" s="21"/>
      <c r="B263" s="21" t="s">
        <v>298</v>
      </c>
      <c r="C263" s="21" t="s">
        <v>757</v>
      </c>
      <c r="D263" s="21">
        <v>13</v>
      </c>
      <c r="E263" s="23">
        <v>13580</v>
      </c>
      <c r="G263" s="21" t="s">
        <v>274</v>
      </c>
    </row>
    <row r="264" spans="1:7" ht="14.4" hidden="1">
      <c r="A264" s="21"/>
      <c r="B264" s="22">
        <v>203</v>
      </c>
      <c r="C264" s="21" t="s">
        <v>758</v>
      </c>
      <c r="D264" s="21">
        <v>13</v>
      </c>
      <c r="E264" s="23">
        <v>13579</v>
      </c>
      <c r="G264" s="21" t="s">
        <v>287</v>
      </c>
    </row>
    <row r="265" spans="1:7" ht="14.4" hidden="1">
      <c r="A265" s="21"/>
      <c r="B265" s="22">
        <v>204</v>
      </c>
      <c r="C265" s="21" t="s">
        <v>759</v>
      </c>
      <c r="D265" s="21">
        <v>13</v>
      </c>
      <c r="E265" s="23">
        <v>13577</v>
      </c>
      <c r="G265" s="21" t="s">
        <v>300</v>
      </c>
    </row>
    <row r="266" spans="1:7" ht="14.4" hidden="1">
      <c r="A266" s="21"/>
      <c r="B266" s="22">
        <v>205</v>
      </c>
      <c r="C266" s="21" t="s">
        <v>760</v>
      </c>
      <c r="D266" s="21">
        <v>13</v>
      </c>
      <c r="E266" s="23">
        <v>13577</v>
      </c>
      <c r="G266" s="21" t="s">
        <v>282</v>
      </c>
    </row>
    <row r="267" spans="1:7" ht="14.4" hidden="1">
      <c r="A267" s="21"/>
      <c r="B267" s="21" t="s">
        <v>298</v>
      </c>
      <c r="C267" s="21" t="s">
        <v>761</v>
      </c>
      <c r="D267" s="21">
        <v>13</v>
      </c>
      <c r="E267" s="23">
        <v>13577</v>
      </c>
      <c r="G267" s="21" t="s">
        <v>310</v>
      </c>
    </row>
    <row r="268" spans="1:7" ht="14.4" hidden="1">
      <c r="A268" s="21"/>
      <c r="B268" s="22">
        <v>206</v>
      </c>
      <c r="C268" s="21" t="s">
        <v>762</v>
      </c>
      <c r="D268" s="21">
        <v>13</v>
      </c>
      <c r="E268" s="23">
        <v>13575</v>
      </c>
      <c r="G268" s="21" t="s">
        <v>287</v>
      </c>
    </row>
    <row r="269" spans="1:7" ht="14.4" hidden="1">
      <c r="A269" s="21"/>
      <c r="B269" s="22">
        <v>207</v>
      </c>
      <c r="C269" s="21" t="s">
        <v>763</v>
      </c>
      <c r="D269" s="21">
        <v>13</v>
      </c>
      <c r="E269" s="23">
        <v>13575</v>
      </c>
      <c r="G269" s="21" t="s">
        <v>310</v>
      </c>
    </row>
    <row r="270" spans="1:7" ht="14.4" hidden="1">
      <c r="A270" s="21"/>
      <c r="B270" s="22">
        <v>208</v>
      </c>
      <c r="C270" s="21" t="s">
        <v>764</v>
      </c>
      <c r="D270" s="21">
        <v>13</v>
      </c>
      <c r="E270" s="23">
        <v>13574</v>
      </c>
      <c r="G270" s="21" t="s">
        <v>287</v>
      </c>
    </row>
    <row r="271" spans="1:7" ht="14.4" hidden="1">
      <c r="A271" s="21"/>
      <c r="B271" s="22">
        <v>209</v>
      </c>
      <c r="C271" s="21" t="s">
        <v>765</v>
      </c>
      <c r="D271" s="21">
        <v>13</v>
      </c>
      <c r="E271" s="23">
        <v>13573</v>
      </c>
      <c r="G271" s="21" t="s">
        <v>282</v>
      </c>
    </row>
    <row r="272" spans="1:7" ht="14.4" hidden="1">
      <c r="A272" s="21"/>
      <c r="B272" s="21" t="s">
        <v>298</v>
      </c>
      <c r="C272" s="21" t="s">
        <v>766</v>
      </c>
      <c r="D272" s="21">
        <v>13</v>
      </c>
      <c r="E272" s="23">
        <v>13572</v>
      </c>
      <c r="G272" s="21" t="s">
        <v>300</v>
      </c>
    </row>
    <row r="273" spans="1:7" ht="14.4" hidden="1">
      <c r="A273" s="21"/>
      <c r="B273" s="21" t="s">
        <v>298</v>
      </c>
      <c r="C273" s="21" t="s">
        <v>767</v>
      </c>
      <c r="D273" s="21">
        <v>13</v>
      </c>
      <c r="E273" s="23">
        <v>13569</v>
      </c>
      <c r="G273" s="21" t="s">
        <v>310</v>
      </c>
    </row>
    <row r="274" spans="1:7" ht="14.4" hidden="1">
      <c r="A274" s="21"/>
      <c r="B274" s="22">
        <v>210</v>
      </c>
      <c r="C274" s="21" t="s">
        <v>768</v>
      </c>
      <c r="D274" s="21">
        <v>13</v>
      </c>
      <c r="E274" s="23">
        <v>13568</v>
      </c>
      <c r="G274" s="21" t="s">
        <v>274</v>
      </c>
    </row>
    <row r="275" spans="1:7" ht="14.4" hidden="1">
      <c r="A275" s="21"/>
      <c r="B275" s="21" t="s">
        <v>278</v>
      </c>
      <c r="C275" s="21" t="s">
        <v>769</v>
      </c>
      <c r="D275" s="21">
        <v>13</v>
      </c>
      <c r="E275" s="23">
        <v>13568</v>
      </c>
      <c r="G275" s="21" t="s">
        <v>310</v>
      </c>
    </row>
    <row r="276" spans="1:7" ht="14.4" hidden="1">
      <c r="A276" s="21"/>
      <c r="B276" s="22">
        <v>211</v>
      </c>
      <c r="C276" s="21" t="s">
        <v>770</v>
      </c>
      <c r="D276" s="21">
        <v>13</v>
      </c>
      <c r="E276" s="23">
        <v>13566</v>
      </c>
      <c r="G276" s="21" t="s">
        <v>310</v>
      </c>
    </row>
    <row r="277" spans="1:7" ht="14.4" hidden="1">
      <c r="A277" s="21"/>
      <c r="B277" s="22">
        <v>212</v>
      </c>
      <c r="C277" s="21" t="s">
        <v>771</v>
      </c>
      <c r="D277" s="21">
        <v>13</v>
      </c>
      <c r="E277" s="23">
        <v>13565</v>
      </c>
      <c r="G277" s="21" t="s">
        <v>282</v>
      </c>
    </row>
    <row r="278" spans="1:7" ht="14.4" hidden="1">
      <c r="A278" s="21"/>
      <c r="B278" s="21" t="s">
        <v>298</v>
      </c>
      <c r="C278" s="21" t="s">
        <v>772</v>
      </c>
      <c r="D278" s="21">
        <v>13</v>
      </c>
      <c r="E278" s="23">
        <v>13561</v>
      </c>
      <c r="G278" s="21" t="s">
        <v>337</v>
      </c>
    </row>
    <row r="279" spans="1:7" ht="14.4" hidden="1">
      <c r="A279" s="21"/>
      <c r="B279" s="22">
        <v>213</v>
      </c>
      <c r="C279" s="21" t="s">
        <v>773</v>
      </c>
      <c r="D279" s="21">
        <v>13</v>
      </c>
      <c r="E279" s="23">
        <v>13560</v>
      </c>
      <c r="G279" s="21" t="s">
        <v>287</v>
      </c>
    </row>
    <row r="280" spans="1:7" ht="14.4" hidden="1">
      <c r="A280" s="21"/>
      <c r="B280" s="22">
        <v>214</v>
      </c>
      <c r="C280" s="21" t="s">
        <v>774</v>
      </c>
      <c r="D280" s="21">
        <v>13</v>
      </c>
      <c r="E280" s="23">
        <v>13555</v>
      </c>
      <c r="G280" s="21" t="s">
        <v>310</v>
      </c>
    </row>
    <row r="281" spans="1:7" ht="14.4" hidden="1">
      <c r="A281" s="21"/>
      <c r="B281" s="21" t="s">
        <v>298</v>
      </c>
      <c r="C281" s="21" t="s">
        <v>775</v>
      </c>
      <c r="D281" s="21">
        <v>13</v>
      </c>
      <c r="E281" s="23">
        <v>13555</v>
      </c>
      <c r="G281" s="21" t="s">
        <v>282</v>
      </c>
    </row>
    <row r="282" spans="1:7" ht="14.4" hidden="1">
      <c r="A282" s="21"/>
      <c r="B282" s="22">
        <v>215</v>
      </c>
      <c r="C282" s="21" t="s">
        <v>776</v>
      </c>
      <c r="D282" s="21">
        <v>13</v>
      </c>
      <c r="E282" s="23">
        <v>13554</v>
      </c>
      <c r="G282" s="21" t="s">
        <v>282</v>
      </c>
    </row>
    <row r="283" spans="1:7" ht="14.4" hidden="1">
      <c r="A283" s="21"/>
      <c r="B283" s="22">
        <v>216</v>
      </c>
      <c r="C283" s="21" t="s">
        <v>777</v>
      </c>
      <c r="D283" s="21">
        <v>13</v>
      </c>
      <c r="E283" s="23">
        <v>13554</v>
      </c>
      <c r="G283" s="21" t="s">
        <v>310</v>
      </c>
    </row>
    <row r="284" spans="1:7" ht="14.4" hidden="1">
      <c r="A284" s="21"/>
      <c r="B284" s="22">
        <v>217</v>
      </c>
      <c r="C284" s="21" t="s">
        <v>778</v>
      </c>
      <c r="D284" s="21">
        <v>13</v>
      </c>
      <c r="E284" s="23">
        <v>13553</v>
      </c>
      <c r="G284" s="21" t="s">
        <v>287</v>
      </c>
    </row>
    <row r="285" spans="1:7" ht="14.4" hidden="1">
      <c r="A285" s="21"/>
      <c r="B285" s="22">
        <v>218</v>
      </c>
      <c r="C285" s="21" t="s">
        <v>779</v>
      </c>
      <c r="D285" s="21">
        <v>13</v>
      </c>
      <c r="E285" s="23">
        <v>13553</v>
      </c>
      <c r="G285" s="21" t="s">
        <v>282</v>
      </c>
    </row>
    <row r="286" spans="1:7" ht="14.4" hidden="1">
      <c r="A286" s="21"/>
      <c r="B286" s="22">
        <v>219</v>
      </c>
      <c r="C286" s="21" t="s">
        <v>780</v>
      </c>
      <c r="D286" s="21">
        <v>13</v>
      </c>
      <c r="E286" s="23">
        <v>13552</v>
      </c>
      <c r="G286" s="21" t="s">
        <v>310</v>
      </c>
    </row>
    <row r="287" spans="1:7" ht="14.4" hidden="1">
      <c r="A287" s="21"/>
      <c r="B287" s="22">
        <v>220</v>
      </c>
      <c r="C287" s="21" t="s">
        <v>781</v>
      </c>
      <c r="D287" s="21">
        <v>13</v>
      </c>
      <c r="E287" s="23">
        <v>13550</v>
      </c>
      <c r="G287" s="21" t="s">
        <v>337</v>
      </c>
    </row>
    <row r="288" spans="1:7" ht="14.4" hidden="1">
      <c r="A288" s="21"/>
      <c r="B288" s="21" t="s">
        <v>298</v>
      </c>
      <c r="C288" s="21" t="s">
        <v>782</v>
      </c>
      <c r="D288" s="21">
        <v>13</v>
      </c>
      <c r="E288" s="23">
        <v>13548</v>
      </c>
      <c r="G288" s="21" t="s">
        <v>300</v>
      </c>
    </row>
    <row r="289" spans="1:7" ht="14.4" hidden="1">
      <c r="A289" s="21"/>
      <c r="B289" s="22">
        <v>221</v>
      </c>
      <c r="C289" s="21" t="s">
        <v>783</v>
      </c>
      <c r="D289" s="21">
        <v>13</v>
      </c>
      <c r="E289" s="23">
        <v>13546</v>
      </c>
      <c r="G289" s="21" t="s">
        <v>282</v>
      </c>
    </row>
    <row r="290" spans="1:7" ht="14.4" hidden="1">
      <c r="A290" s="21"/>
      <c r="B290" s="21" t="s">
        <v>298</v>
      </c>
      <c r="C290" s="21" t="s">
        <v>784</v>
      </c>
      <c r="D290" s="21">
        <v>13</v>
      </c>
      <c r="E290" s="23">
        <v>13545</v>
      </c>
      <c r="G290" s="21" t="s">
        <v>274</v>
      </c>
    </row>
    <row r="291" spans="1:7" ht="14.4" hidden="1">
      <c r="A291" s="21"/>
      <c r="B291" s="21" t="s">
        <v>278</v>
      </c>
      <c r="C291" s="21" t="s">
        <v>785</v>
      </c>
      <c r="D291" s="21">
        <v>13</v>
      </c>
      <c r="E291" s="23">
        <v>13543</v>
      </c>
      <c r="G291" s="21" t="s">
        <v>310</v>
      </c>
    </row>
    <row r="292" spans="1:7" ht="14.4" hidden="1">
      <c r="A292" s="21"/>
      <c r="B292" s="22">
        <v>222</v>
      </c>
      <c r="C292" s="21" t="s">
        <v>786</v>
      </c>
      <c r="D292" s="21">
        <v>13</v>
      </c>
      <c r="E292" s="23">
        <v>13542</v>
      </c>
      <c r="G292" s="21" t="s">
        <v>310</v>
      </c>
    </row>
    <row r="293" spans="1:7" ht="14.4" hidden="1">
      <c r="A293" s="21"/>
      <c r="B293" s="22">
        <v>223</v>
      </c>
      <c r="C293" s="21" t="s">
        <v>787</v>
      </c>
      <c r="D293" s="21">
        <v>13</v>
      </c>
      <c r="E293" s="23">
        <v>13541</v>
      </c>
      <c r="G293" s="21" t="s">
        <v>282</v>
      </c>
    </row>
    <row r="294" spans="1:7" ht="14.4" hidden="1">
      <c r="A294" s="21"/>
      <c r="B294" s="22">
        <v>224</v>
      </c>
      <c r="C294" s="21" t="s">
        <v>788</v>
      </c>
      <c r="D294" s="21">
        <v>13</v>
      </c>
      <c r="E294" s="23">
        <v>13540</v>
      </c>
      <c r="G294" s="21" t="s">
        <v>337</v>
      </c>
    </row>
    <row r="295" spans="1:7" ht="14.4" hidden="1">
      <c r="A295" s="21"/>
      <c r="B295" s="22">
        <v>225</v>
      </c>
      <c r="C295" s="21" t="s">
        <v>789</v>
      </c>
      <c r="D295" s="21">
        <v>13</v>
      </c>
      <c r="E295" s="23">
        <v>13540</v>
      </c>
      <c r="G295" s="21" t="s">
        <v>310</v>
      </c>
    </row>
    <row r="296" spans="1:7" ht="14.4" hidden="1">
      <c r="A296" s="21"/>
      <c r="B296" s="22">
        <v>226</v>
      </c>
      <c r="C296" s="21" t="s">
        <v>790</v>
      </c>
      <c r="D296" s="21">
        <v>13</v>
      </c>
      <c r="E296" s="23">
        <v>13540</v>
      </c>
      <c r="G296" s="21" t="s">
        <v>310</v>
      </c>
    </row>
    <row r="297" spans="1:7" ht="14.4" hidden="1">
      <c r="A297" s="21"/>
      <c r="B297" s="22">
        <v>227</v>
      </c>
      <c r="C297" s="21" t="s">
        <v>791</v>
      </c>
      <c r="D297" s="21">
        <v>13</v>
      </c>
      <c r="E297" s="23">
        <v>13540</v>
      </c>
      <c r="G297" s="21" t="s">
        <v>310</v>
      </c>
    </row>
    <row r="298" spans="1:7" ht="14.4" hidden="1">
      <c r="A298" s="21"/>
      <c r="B298" s="22">
        <v>228</v>
      </c>
      <c r="C298" s="21" t="s">
        <v>792</v>
      </c>
      <c r="D298" s="21">
        <v>13</v>
      </c>
      <c r="E298" s="23">
        <v>13540</v>
      </c>
      <c r="G298" s="21" t="s">
        <v>310</v>
      </c>
    </row>
    <row r="299" spans="1:7" ht="14.4" hidden="1">
      <c r="A299" s="21"/>
      <c r="B299" s="22">
        <v>229</v>
      </c>
      <c r="C299" s="21" t="s">
        <v>793</v>
      </c>
      <c r="D299" s="21">
        <v>13</v>
      </c>
      <c r="E299" s="23">
        <v>13538</v>
      </c>
      <c r="G299" s="21" t="s">
        <v>274</v>
      </c>
    </row>
    <row r="300" spans="1:7" ht="14.4" hidden="1">
      <c r="A300" s="21"/>
      <c r="B300" s="22">
        <v>230</v>
      </c>
      <c r="C300" s="21" t="s">
        <v>794</v>
      </c>
      <c r="D300" s="21">
        <v>13</v>
      </c>
      <c r="E300" s="23">
        <v>13537</v>
      </c>
      <c r="G300" s="21" t="s">
        <v>337</v>
      </c>
    </row>
    <row r="301" spans="1:7" ht="14.4" hidden="1">
      <c r="A301" s="21"/>
      <c r="B301" s="22">
        <v>231</v>
      </c>
      <c r="C301" s="21" t="s">
        <v>795</v>
      </c>
      <c r="D301" s="21">
        <v>13</v>
      </c>
      <c r="E301" s="23">
        <v>13535</v>
      </c>
      <c r="G301" s="21" t="s">
        <v>274</v>
      </c>
    </row>
    <row r="302" spans="1:7" ht="14.4" hidden="1">
      <c r="A302" s="21"/>
      <c r="B302" s="22">
        <v>232</v>
      </c>
      <c r="C302" s="21" t="s">
        <v>796</v>
      </c>
      <c r="D302" s="21">
        <v>13</v>
      </c>
      <c r="E302" s="23">
        <v>13535</v>
      </c>
      <c r="G302" s="21" t="s">
        <v>310</v>
      </c>
    </row>
    <row r="303" spans="1:7" ht="14.4" hidden="1">
      <c r="A303" s="21"/>
      <c r="B303" s="21" t="s">
        <v>298</v>
      </c>
      <c r="C303" s="21" t="s">
        <v>797</v>
      </c>
      <c r="D303" s="21">
        <v>13</v>
      </c>
      <c r="E303" s="23">
        <v>13534</v>
      </c>
      <c r="G303" s="21" t="s">
        <v>282</v>
      </c>
    </row>
    <row r="304" spans="1:7" ht="14.4" hidden="1">
      <c r="A304" s="21"/>
      <c r="B304" s="22">
        <v>233</v>
      </c>
      <c r="C304" s="21" t="s">
        <v>798</v>
      </c>
      <c r="D304" s="21">
        <v>13</v>
      </c>
      <c r="E304" s="23">
        <v>13531</v>
      </c>
      <c r="G304" s="21" t="s">
        <v>274</v>
      </c>
    </row>
    <row r="305" spans="1:7" ht="14.4" hidden="1">
      <c r="A305" s="21"/>
      <c r="B305" s="22">
        <v>234</v>
      </c>
      <c r="C305" s="21" t="s">
        <v>799</v>
      </c>
      <c r="D305" s="21">
        <v>13</v>
      </c>
      <c r="E305" s="23">
        <v>13530</v>
      </c>
      <c r="G305" s="21" t="s">
        <v>287</v>
      </c>
    </row>
    <row r="306" spans="1:7" ht="14.4" hidden="1">
      <c r="A306" s="21"/>
      <c r="B306" s="22">
        <v>235</v>
      </c>
      <c r="C306" s="21" t="s">
        <v>800</v>
      </c>
      <c r="D306" s="21">
        <v>13</v>
      </c>
      <c r="E306" s="23">
        <v>13528</v>
      </c>
      <c r="G306" s="21" t="s">
        <v>337</v>
      </c>
    </row>
    <row r="307" spans="1:7" ht="14.4" hidden="1">
      <c r="A307" s="21"/>
      <c r="B307" s="22">
        <v>236</v>
      </c>
      <c r="C307" s="21" t="s">
        <v>801</v>
      </c>
      <c r="D307" s="21">
        <v>13</v>
      </c>
      <c r="E307" s="23">
        <v>13528</v>
      </c>
      <c r="G307" s="21" t="s">
        <v>274</v>
      </c>
    </row>
    <row r="308" spans="1:7" ht="14.4" hidden="1">
      <c r="A308" s="21"/>
      <c r="B308" s="22">
        <v>237</v>
      </c>
      <c r="C308" s="21" t="s">
        <v>802</v>
      </c>
      <c r="D308" s="21">
        <v>13</v>
      </c>
      <c r="E308" s="23">
        <v>13528</v>
      </c>
      <c r="G308" s="21" t="s">
        <v>310</v>
      </c>
    </row>
    <row r="309" spans="1:7" ht="14.4" hidden="1">
      <c r="A309" s="21"/>
      <c r="B309" s="22">
        <v>238</v>
      </c>
      <c r="C309" s="21" t="s">
        <v>803</v>
      </c>
      <c r="D309" s="21">
        <v>13</v>
      </c>
      <c r="E309" s="23">
        <v>13528</v>
      </c>
      <c r="G309" s="21" t="s">
        <v>310</v>
      </c>
    </row>
    <row r="310" spans="1:7" ht="14.4" hidden="1">
      <c r="A310" s="21"/>
      <c r="B310" s="22">
        <v>239</v>
      </c>
      <c r="C310" s="21" t="s">
        <v>804</v>
      </c>
      <c r="D310" s="21">
        <v>13</v>
      </c>
      <c r="E310" s="23">
        <v>13524</v>
      </c>
      <c r="G310" s="21" t="s">
        <v>282</v>
      </c>
    </row>
    <row r="311" spans="1:7" ht="14.4" hidden="1">
      <c r="A311" s="21"/>
      <c r="B311" s="22">
        <v>240</v>
      </c>
      <c r="C311" s="21" t="s">
        <v>805</v>
      </c>
      <c r="D311" s="21">
        <v>13</v>
      </c>
      <c r="E311" s="23">
        <v>13524</v>
      </c>
      <c r="G311" s="21" t="s">
        <v>310</v>
      </c>
    </row>
    <row r="312" spans="1:7" ht="14.4" hidden="1">
      <c r="A312" s="21"/>
      <c r="B312" s="21" t="s">
        <v>298</v>
      </c>
      <c r="C312" s="21" t="s">
        <v>806</v>
      </c>
      <c r="D312" s="21">
        <v>13</v>
      </c>
      <c r="E312" s="23">
        <v>13523</v>
      </c>
      <c r="G312" s="21" t="s">
        <v>274</v>
      </c>
    </row>
    <row r="313" spans="1:7" ht="14.4" hidden="1">
      <c r="A313" s="21"/>
      <c r="B313" s="21" t="s">
        <v>298</v>
      </c>
      <c r="C313" s="21" t="s">
        <v>807</v>
      </c>
      <c r="D313" s="21">
        <v>13</v>
      </c>
      <c r="E313" s="23">
        <v>13523</v>
      </c>
      <c r="G313" s="21" t="s">
        <v>287</v>
      </c>
    </row>
    <row r="314" spans="1:7" ht="14.4" hidden="1">
      <c r="A314" s="21"/>
      <c r="B314" s="22">
        <v>241</v>
      </c>
      <c r="C314" s="21" t="s">
        <v>808</v>
      </c>
      <c r="D314" s="21">
        <v>13</v>
      </c>
      <c r="E314" s="23">
        <v>13522</v>
      </c>
      <c r="G314" s="21" t="s">
        <v>282</v>
      </c>
    </row>
    <row r="315" spans="1:7" ht="14.4" hidden="1">
      <c r="A315" s="21"/>
      <c r="B315" s="22">
        <v>242</v>
      </c>
      <c r="C315" s="21" t="s">
        <v>809</v>
      </c>
      <c r="D315" s="21">
        <v>13</v>
      </c>
      <c r="E315" s="23">
        <v>13521</v>
      </c>
      <c r="G315" s="21" t="s">
        <v>337</v>
      </c>
    </row>
    <row r="316" spans="1:7" ht="14.4" hidden="1">
      <c r="A316" s="21"/>
      <c r="B316" s="22">
        <v>243</v>
      </c>
      <c r="C316" s="21" t="s">
        <v>810</v>
      </c>
      <c r="D316" s="21">
        <v>13</v>
      </c>
      <c r="E316" s="23">
        <v>13517</v>
      </c>
      <c r="G316" s="21" t="s">
        <v>282</v>
      </c>
    </row>
    <row r="317" spans="1:7" ht="14.4" hidden="1">
      <c r="A317" s="21"/>
      <c r="B317" s="22">
        <v>244</v>
      </c>
      <c r="C317" s="21" t="s">
        <v>811</v>
      </c>
      <c r="D317" s="21">
        <v>13</v>
      </c>
      <c r="E317" s="23">
        <v>13517</v>
      </c>
      <c r="G317" s="21" t="s">
        <v>274</v>
      </c>
    </row>
    <row r="318" spans="1:7" ht="14.4" hidden="1">
      <c r="A318" s="21"/>
      <c r="B318" s="21" t="s">
        <v>298</v>
      </c>
      <c r="C318" s="21" t="s">
        <v>812</v>
      </c>
      <c r="D318" s="21">
        <v>13</v>
      </c>
      <c r="E318" s="23">
        <v>13517</v>
      </c>
      <c r="G318" s="21" t="s">
        <v>282</v>
      </c>
    </row>
    <row r="319" spans="1:7" ht="14.4" hidden="1">
      <c r="A319" s="21"/>
      <c r="B319" s="22">
        <v>245</v>
      </c>
      <c r="C319" s="21" t="s">
        <v>813</v>
      </c>
      <c r="D319" s="21">
        <v>13</v>
      </c>
      <c r="E319" s="23">
        <v>13516</v>
      </c>
      <c r="G319" s="21" t="s">
        <v>337</v>
      </c>
    </row>
    <row r="320" spans="1:7" ht="14.4" hidden="1">
      <c r="A320" s="21"/>
      <c r="B320" s="22">
        <v>246</v>
      </c>
      <c r="C320" s="21" t="s">
        <v>814</v>
      </c>
      <c r="D320" s="21">
        <v>13</v>
      </c>
      <c r="E320" s="23">
        <v>13514</v>
      </c>
      <c r="G320" s="21" t="s">
        <v>287</v>
      </c>
    </row>
    <row r="321" spans="1:7" ht="14.4" hidden="1">
      <c r="A321" s="21"/>
      <c r="B321" s="22">
        <v>247</v>
      </c>
      <c r="C321" s="21" t="s">
        <v>815</v>
      </c>
      <c r="D321" s="21">
        <v>13</v>
      </c>
      <c r="E321" s="23">
        <v>13513</v>
      </c>
      <c r="G321" s="21" t="s">
        <v>282</v>
      </c>
    </row>
    <row r="322" spans="1:7" ht="14.4" hidden="1">
      <c r="A322" s="21"/>
      <c r="B322" s="22">
        <v>248</v>
      </c>
      <c r="C322" s="21" t="s">
        <v>816</v>
      </c>
      <c r="D322" s="21">
        <v>13</v>
      </c>
      <c r="E322" s="23">
        <v>13510</v>
      </c>
      <c r="G322" s="21" t="s">
        <v>310</v>
      </c>
    </row>
    <row r="323" spans="1:7" ht="14.4" hidden="1">
      <c r="A323" s="21"/>
      <c r="B323" s="22">
        <v>249</v>
      </c>
      <c r="C323" s="21" t="s">
        <v>817</v>
      </c>
      <c r="D323" s="21">
        <v>13</v>
      </c>
      <c r="E323" s="23">
        <v>13510</v>
      </c>
      <c r="G323" s="21" t="s">
        <v>310</v>
      </c>
    </row>
    <row r="324" spans="1:7" ht="14.4" hidden="1">
      <c r="A324" s="21"/>
      <c r="B324" s="22">
        <v>250</v>
      </c>
      <c r="C324" s="21" t="s">
        <v>818</v>
      </c>
      <c r="D324" s="21">
        <v>13</v>
      </c>
      <c r="E324" s="23">
        <v>13510</v>
      </c>
      <c r="G324" s="21" t="s">
        <v>310</v>
      </c>
    </row>
    <row r="325" spans="1:7" ht="14.4" hidden="1">
      <c r="A325" s="21"/>
      <c r="B325" s="21" t="s">
        <v>298</v>
      </c>
      <c r="C325" s="21" t="s">
        <v>819</v>
      </c>
      <c r="D325" s="21">
        <v>13</v>
      </c>
      <c r="E325" s="23">
        <v>13509</v>
      </c>
      <c r="G325" s="21" t="s">
        <v>310</v>
      </c>
    </row>
    <row r="326" spans="1:7" ht="14.4" hidden="1">
      <c r="A326" s="21"/>
      <c r="B326" s="22">
        <v>251</v>
      </c>
      <c r="C326" s="21" t="s">
        <v>820</v>
      </c>
      <c r="D326" s="21">
        <v>13</v>
      </c>
      <c r="E326" s="23">
        <v>13507</v>
      </c>
      <c r="G326" s="21" t="s">
        <v>282</v>
      </c>
    </row>
    <row r="327" spans="1:7" ht="14.4" hidden="1">
      <c r="A327" s="21"/>
      <c r="B327" s="21" t="s">
        <v>278</v>
      </c>
      <c r="C327" s="21" t="s">
        <v>821</v>
      </c>
      <c r="D327" s="21">
        <v>13</v>
      </c>
      <c r="E327" s="23">
        <v>13506</v>
      </c>
      <c r="G327" s="21" t="s">
        <v>310</v>
      </c>
    </row>
    <row r="328" spans="1:7" ht="14.4" hidden="1">
      <c r="A328" s="21"/>
      <c r="B328" s="22">
        <v>252</v>
      </c>
      <c r="C328" s="21" t="s">
        <v>822</v>
      </c>
      <c r="D328" s="21">
        <v>13</v>
      </c>
      <c r="E328" s="23">
        <v>13505</v>
      </c>
      <c r="G328" s="21" t="s">
        <v>274</v>
      </c>
    </row>
    <row r="329" spans="1:7" ht="14.4" hidden="1">
      <c r="A329" s="21"/>
      <c r="B329" s="22">
        <v>253</v>
      </c>
      <c r="C329" s="21" t="s">
        <v>823</v>
      </c>
      <c r="D329" s="21">
        <v>13</v>
      </c>
      <c r="E329" s="23">
        <v>13502</v>
      </c>
      <c r="G329" s="21" t="s">
        <v>287</v>
      </c>
    </row>
    <row r="330" spans="1:7" ht="14.4" hidden="1">
      <c r="A330" s="21"/>
      <c r="B330" s="22">
        <v>254</v>
      </c>
      <c r="C330" s="21" t="s">
        <v>824</v>
      </c>
      <c r="D330" s="21">
        <v>13</v>
      </c>
      <c r="E330" s="23">
        <v>13502</v>
      </c>
      <c r="G330" s="21" t="s">
        <v>287</v>
      </c>
    </row>
    <row r="331" spans="1:7" ht="14.4" hidden="1">
      <c r="A331" s="21"/>
      <c r="B331" s="22">
        <v>255</v>
      </c>
      <c r="C331" s="21" t="s">
        <v>825</v>
      </c>
      <c r="D331" s="21">
        <v>13</v>
      </c>
      <c r="E331" s="23">
        <v>13500</v>
      </c>
      <c r="G331" s="21" t="s">
        <v>274</v>
      </c>
    </row>
    <row r="332" spans="1:7" ht="14.4" hidden="1">
      <c r="A332" s="21"/>
      <c r="B332" s="21" t="s">
        <v>298</v>
      </c>
      <c r="C332" s="21" t="s">
        <v>826</v>
      </c>
      <c r="D332" s="21">
        <v>13</v>
      </c>
      <c r="E332" s="23">
        <v>13500</v>
      </c>
      <c r="G332" s="21" t="s">
        <v>310</v>
      </c>
    </row>
    <row r="333" spans="1:7" ht="14.4" hidden="1">
      <c r="A333" s="21"/>
      <c r="B333" s="21" t="s">
        <v>298</v>
      </c>
      <c r="C333" s="21" t="s">
        <v>827</v>
      </c>
      <c r="D333" s="21">
        <v>13</v>
      </c>
      <c r="E333" s="23">
        <v>13500</v>
      </c>
      <c r="G333" s="21" t="s">
        <v>282</v>
      </c>
    </row>
    <row r="334" spans="1:7" ht="14.4" hidden="1">
      <c r="A334" s="21"/>
      <c r="B334" s="21" t="s">
        <v>298</v>
      </c>
      <c r="C334" s="21" t="s">
        <v>828</v>
      </c>
      <c r="D334" s="21">
        <v>13</v>
      </c>
      <c r="E334" s="23">
        <v>13500</v>
      </c>
      <c r="G334" s="21" t="s">
        <v>274</v>
      </c>
    </row>
    <row r="335" spans="1:7" ht="14.4" hidden="1">
      <c r="A335" s="21"/>
      <c r="B335" s="21" t="s">
        <v>298</v>
      </c>
      <c r="C335" s="21" t="s">
        <v>829</v>
      </c>
      <c r="D335" s="21">
        <v>13</v>
      </c>
      <c r="E335" s="23">
        <v>13500</v>
      </c>
      <c r="G335" s="21" t="s">
        <v>310</v>
      </c>
    </row>
    <row r="336" spans="1:7" ht="14.4" hidden="1">
      <c r="A336" s="21"/>
      <c r="B336" s="22">
        <v>256</v>
      </c>
      <c r="C336" s="21" t="s">
        <v>830</v>
      </c>
      <c r="D336" s="21">
        <v>13</v>
      </c>
      <c r="E336" s="23">
        <v>13498</v>
      </c>
      <c r="G336" s="21" t="s">
        <v>310</v>
      </c>
    </row>
    <row r="337" spans="1:7" ht="14.4" hidden="1">
      <c r="A337" s="21"/>
      <c r="B337" s="22">
        <v>257</v>
      </c>
      <c r="C337" s="21" t="s">
        <v>831</v>
      </c>
      <c r="D337" s="21">
        <v>13</v>
      </c>
      <c r="E337" s="23">
        <v>13497</v>
      </c>
      <c r="G337" s="21" t="s">
        <v>337</v>
      </c>
    </row>
    <row r="338" spans="1:7" ht="14.4" hidden="1">
      <c r="A338" s="21"/>
      <c r="B338" s="22">
        <v>258</v>
      </c>
      <c r="C338" s="21" t="s">
        <v>832</v>
      </c>
      <c r="D338" s="21">
        <v>13</v>
      </c>
      <c r="E338" s="23">
        <v>13497</v>
      </c>
      <c r="G338" s="21" t="s">
        <v>287</v>
      </c>
    </row>
    <row r="339" spans="1:7" ht="14.4" hidden="1">
      <c r="A339" s="21"/>
      <c r="B339" s="22">
        <v>259</v>
      </c>
      <c r="C339" s="21" t="s">
        <v>833</v>
      </c>
      <c r="D339" s="21">
        <v>13</v>
      </c>
      <c r="E339" s="23">
        <v>13496</v>
      </c>
      <c r="G339" s="21" t="s">
        <v>310</v>
      </c>
    </row>
    <row r="340" spans="1:7" ht="14.4" hidden="1">
      <c r="A340" s="21"/>
      <c r="B340" s="22">
        <v>260</v>
      </c>
      <c r="C340" s="21" t="s">
        <v>834</v>
      </c>
      <c r="D340" s="21">
        <v>13</v>
      </c>
      <c r="E340" s="23">
        <v>13492</v>
      </c>
      <c r="G340" s="21" t="s">
        <v>310</v>
      </c>
    </row>
    <row r="341" spans="1:7" ht="14.4" hidden="1">
      <c r="A341" s="21"/>
      <c r="B341" s="22">
        <v>261</v>
      </c>
      <c r="C341" s="21" t="s">
        <v>836</v>
      </c>
      <c r="D341" s="21">
        <v>13</v>
      </c>
      <c r="E341" s="23">
        <v>13490</v>
      </c>
      <c r="G341" s="21" t="s">
        <v>282</v>
      </c>
    </row>
    <row r="342" spans="1:7" ht="14.4" hidden="1">
      <c r="A342" s="21"/>
      <c r="B342" s="22">
        <v>262</v>
      </c>
      <c r="C342" s="21" t="s">
        <v>837</v>
      </c>
      <c r="D342" s="21">
        <v>13</v>
      </c>
      <c r="E342" s="23">
        <v>13490</v>
      </c>
      <c r="G342" s="21" t="s">
        <v>282</v>
      </c>
    </row>
    <row r="343" spans="1:7" ht="14.4" hidden="1">
      <c r="A343" s="21"/>
      <c r="B343" s="22">
        <v>263</v>
      </c>
      <c r="C343" s="21" t="s">
        <v>838</v>
      </c>
      <c r="D343" s="21">
        <v>13</v>
      </c>
      <c r="E343" s="23">
        <v>13489</v>
      </c>
      <c r="G343" s="21" t="s">
        <v>310</v>
      </c>
    </row>
    <row r="344" spans="1:7" ht="14.4" hidden="1">
      <c r="A344" s="21"/>
      <c r="B344" s="22">
        <v>264</v>
      </c>
      <c r="C344" s="21" t="s">
        <v>839</v>
      </c>
      <c r="D344" s="21">
        <v>13</v>
      </c>
      <c r="E344" s="23">
        <v>13487</v>
      </c>
      <c r="G344" s="21" t="s">
        <v>282</v>
      </c>
    </row>
    <row r="345" spans="1:7" ht="14.4" hidden="1">
      <c r="A345" s="21"/>
      <c r="B345" s="22">
        <v>265</v>
      </c>
      <c r="C345" s="21" t="s">
        <v>840</v>
      </c>
      <c r="D345" s="21">
        <v>13</v>
      </c>
      <c r="E345" s="23">
        <v>13487</v>
      </c>
      <c r="G345" s="21" t="s">
        <v>310</v>
      </c>
    </row>
    <row r="346" spans="1:7" ht="14.4" hidden="1">
      <c r="A346" s="21"/>
      <c r="B346" s="22">
        <v>266</v>
      </c>
      <c r="C346" s="21" t="s">
        <v>841</v>
      </c>
      <c r="D346" s="21">
        <v>13</v>
      </c>
      <c r="E346" s="23">
        <v>13481</v>
      </c>
      <c r="G346" s="21" t="s">
        <v>310</v>
      </c>
    </row>
    <row r="347" spans="1:7" ht="14.4" hidden="1">
      <c r="A347" s="21"/>
      <c r="B347" s="22">
        <v>267</v>
      </c>
      <c r="C347" s="21" t="s">
        <v>842</v>
      </c>
      <c r="D347" s="21">
        <v>13</v>
      </c>
      <c r="E347" s="23">
        <v>13478</v>
      </c>
      <c r="G347" s="21" t="s">
        <v>310</v>
      </c>
    </row>
    <row r="348" spans="1:7" ht="14.4" hidden="1">
      <c r="A348" s="21"/>
      <c r="B348" s="22">
        <v>268</v>
      </c>
      <c r="C348" s="21" t="s">
        <v>843</v>
      </c>
      <c r="D348" s="21">
        <v>13</v>
      </c>
      <c r="E348" s="23">
        <v>13478</v>
      </c>
      <c r="G348" s="21" t="s">
        <v>310</v>
      </c>
    </row>
    <row r="349" spans="1:7" ht="14.4" hidden="1">
      <c r="A349" s="21"/>
      <c r="B349" s="22">
        <v>269</v>
      </c>
      <c r="C349" s="21" t="s">
        <v>844</v>
      </c>
      <c r="D349" s="21">
        <v>13</v>
      </c>
      <c r="E349" s="23">
        <v>13477</v>
      </c>
      <c r="G349" s="21" t="s">
        <v>310</v>
      </c>
    </row>
    <row r="350" spans="1:7" ht="14.4" hidden="1">
      <c r="A350" s="21"/>
      <c r="B350" s="22">
        <v>270</v>
      </c>
      <c r="C350" s="21" t="s">
        <v>845</v>
      </c>
      <c r="D350" s="21">
        <v>13</v>
      </c>
      <c r="E350" s="23">
        <v>13475</v>
      </c>
      <c r="G350" s="21" t="s">
        <v>310</v>
      </c>
    </row>
    <row r="351" spans="1:7" ht="14.4" hidden="1">
      <c r="A351" s="21"/>
      <c r="B351" s="22">
        <v>271</v>
      </c>
      <c r="C351" s="21" t="s">
        <v>846</v>
      </c>
      <c r="D351" s="21">
        <v>13</v>
      </c>
      <c r="E351" s="23">
        <v>13475</v>
      </c>
      <c r="G351" s="21" t="s">
        <v>310</v>
      </c>
    </row>
    <row r="352" spans="1:7" ht="14.4" hidden="1">
      <c r="A352" s="21"/>
      <c r="B352" s="22">
        <v>272</v>
      </c>
      <c r="C352" s="21" t="s">
        <v>847</v>
      </c>
      <c r="D352" s="21">
        <v>13</v>
      </c>
      <c r="E352" s="23">
        <v>13472</v>
      </c>
      <c r="G352" s="21" t="s">
        <v>274</v>
      </c>
    </row>
    <row r="353" spans="1:7" ht="14.4" hidden="1">
      <c r="A353" s="21"/>
      <c r="B353" s="22">
        <v>273</v>
      </c>
      <c r="C353" s="21" t="s">
        <v>848</v>
      </c>
      <c r="D353" s="21">
        <v>13</v>
      </c>
      <c r="E353" s="23">
        <v>13472</v>
      </c>
      <c r="G353" s="21" t="s">
        <v>310</v>
      </c>
    </row>
    <row r="354" spans="1:7" ht="14.4" hidden="1">
      <c r="A354" s="21"/>
      <c r="B354" s="21" t="s">
        <v>298</v>
      </c>
      <c r="C354" s="21" t="s">
        <v>849</v>
      </c>
      <c r="D354" s="21">
        <v>13</v>
      </c>
      <c r="E354" s="23">
        <v>13472</v>
      </c>
      <c r="G354" s="21" t="s">
        <v>274</v>
      </c>
    </row>
    <row r="355" spans="1:7" ht="14.4" hidden="1">
      <c r="A355" s="21"/>
      <c r="B355" s="21" t="s">
        <v>298</v>
      </c>
      <c r="C355" s="21" t="s">
        <v>850</v>
      </c>
      <c r="D355" s="21">
        <v>13</v>
      </c>
      <c r="E355" s="23">
        <v>13472</v>
      </c>
      <c r="G355" s="21" t="s">
        <v>310</v>
      </c>
    </row>
    <row r="356" spans="1:7" ht="14.4" hidden="1">
      <c r="A356" s="21"/>
      <c r="B356" s="22">
        <v>274</v>
      </c>
      <c r="C356" s="21" t="s">
        <v>852</v>
      </c>
      <c r="D356" s="21">
        <v>13</v>
      </c>
      <c r="E356" s="23">
        <v>13470</v>
      </c>
      <c r="G356" s="21" t="s">
        <v>310</v>
      </c>
    </row>
    <row r="357" spans="1:7" ht="14.4" hidden="1">
      <c r="A357" s="21"/>
      <c r="B357" s="22">
        <v>275</v>
      </c>
      <c r="C357" s="21" t="s">
        <v>854</v>
      </c>
      <c r="D357" s="21">
        <v>13</v>
      </c>
      <c r="E357" s="23">
        <v>13468</v>
      </c>
      <c r="G357" s="21" t="s">
        <v>310</v>
      </c>
    </row>
    <row r="358" spans="1:7" ht="14.4" hidden="1">
      <c r="A358" s="21"/>
      <c r="B358" s="21" t="s">
        <v>298</v>
      </c>
      <c r="C358" s="21" t="s">
        <v>856</v>
      </c>
      <c r="D358" s="21">
        <v>13</v>
      </c>
      <c r="E358" s="23">
        <v>13468</v>
      </c>
      <c r="G358" s="21" t="s">
        <v>282</v>
      </c>
    </row>
    <row r="359" spans="1:7" ht="14.4" hidden="1">
      <c r="A359" s="21"/>
      <c r="B359" s="21" t="s">
        <v>278</v>
      </c>
      <c r="C359" s="21" t="s">
        <v>857</v>
      </c>
      <c r="D359" s="21">
        <v>13</v>
      </c>
      <c r="E359" s="23">
        <v>13467</v>
      </c>
      <c r="G359" s="21" t="s">
        <v>310</v>
      </c>
    </row>
    <row r="360" spans="1:7" ht="14.4" hidden="1">
      <c r="A360" s="21"/>
      <c r="B360" s="22">
        <v>276</v>
      </c>
      <c r="C360" s="21" t="s">
        <v>858</v>
      </c>
      <c r="D360" s="21">
        <v>13</v>
      </c>
      <c r="E360" s="23">
        <v>13466</v>
      </c>
      <c r="G360" s="21" t="s">
        <v>282</v>
      </c>
    </row>
    <row r="361" spans="1:7" ht="14.4" hidden="1">
      <c r="A361" s="21"/>
      <c r="B361" s="22">
        <v>277</v>
      </c>
      <c r="C361" s="21" t="s">
        <v>859</v>
      </c>
      <c r="D361" s="21">
        <v>13</v>
      </c>
      <c r="E361" s="23">
        <v>13462</v>
      </c>
      <c r="G361" s="21" t="s">
        <v>274</v>
      </c>
    </row>
    <row r="362" spans="1:7" ht="14.4" hidden="1">
      <c r="A362" s="21"/>
      <c r="B362" s="22">
        <v>278</v>
      </c>
      <c r="C362" s="21" t="s">
        <v>860</v>
      </c>
      <c r="D362" s="21">
        <v>13</v>
      </c>
      <c r="E362" s="23">
        <v>13462</v>
      </c>
      <c r="G362" s="21" t="s">
        <v>337</v>
      </c>
    </row>
    <row r="363" spans="1:7" ht="14.4" hidden="1">
      <c r="A363" s="21"/>
      <c r="B363" s="22">
        <v>279</v>
      </c>
      <c r="C363" s="21" t="s">
        <v>861</v>
      </c>
      <c r="D363" s="21">
        <v>13</v>
      </c>
      <c r="E363" s="23">
        <v>13462</v>
      </c>
      <c r="G363" s="21" t="s">
        <v>274</v>
      </c>
    </row>
    <row r="364" spans="1:7" ht="14.4" hidden="1">
      <c r="A364" s="21"/>
      <c r="B364" s="22">
        <v>280</v>
      </c>
      <c r="C364" s="21" t="s">
        <v>862</v>
      </c>
      <c r="D364" s="21">
        <v>13</v>
      </c>
      <c r="E364" s="23">
        <v>13461</v>
      </c>
      <c r="G364" s="21" t="s">
        <v>274</v>
      </c>
    </row>
    <row r="365" spans="1:7" ht="14.4" hidden="1">
      <c r="A365" s="21"/>
      <c r="B365" s="22">
        <v>281</v>
      </c>
      <c r="C365" s="21" t="s">
        <v>863</v>
      </c>
      <c r="D365" s="21">
        <v>13</v>
      </c>
      <c r="E365" s="23">
        <v>13460</v>
      </c>
      <c r="G365" s="21" t="s">
        <v>274</v>
      </c>
    </row>
    <row r="366" spans="1:7" ht="14.4" hidden="1">
      <c r="A366" s="21"/>
      <c r="B366" s="22">
        <v>282</v>
      </c>
      <c r="C366" s="21" t="s">
        <v>863</v>
      </c>
      <c r="D366" s="21">
        <v>13</v>
      </c>
      <c r="E366" s="23">
        <v>13460</v>
      </c>
      <c r="G366" s="21" t="s">
        <v>274</v>
      </c>
    </row>
    <row r="367" spans="1:7" ht="14.4" hidden="1">
      <c r="A367" s="21"/>
      <c r="B367" s="22">
        <v>283</v>
      </c>
      <c r="C367" s="21" t="s">
        <v>864</v>
      </c>
      <c r="D367" s="21">
        <v>13</v>
      </c>
      <c r="E367" s="23">
        <v>13460</v>
      </c>
      <c r="G367" s="21" t="s">
        <v>337</v>
      </c>
    </row>
    <row r="368" spans="1:7" ht="14.4" hidden="1">
      <c r="A368" s="21"/>
      <c r="B368" s="22">
        <v>284</v>
      </c>
      <c r="C368" s="21" t="s">
        <v>865</v>
      </c>
      <c r="D368" s="21">
        <v>13</v>
      </c>
      <c r="E368" s="23">
        <v>13460</v>
      </c>
      <c r="G368" s="21" t="s">
        <v>310</v>
      </c>
    </row>
    <row r="369" spans="1:7" ht="14.4" hidden="1">
      <c r="A369" s="21"/>
      <c r="B369" s="21" t="s">
        <v>278</v>
      </c>
      <c r="C369" s="21" t="s">
        <v>866</v>
      </c>
      <c r="D369" s="21">
        <v>13</v>
      </c>
      <c r="E369" s="23">
        <v>13460</v>
      </c>
      <c r="G369" s="21" t="s">
        <v>310</v>
      </c>
    </row>
    <row r="370" spans="1:7" ht="14.4" hidden="1">
      <c r="A370" s="21"/>
      <c r="B370" s="22">
        <v>285</v>
      </c>
      <c r="C370" s="21" t="s">
        <v>867</v>
      </c>
      <c r="D370" s="21">
        <v>13</v>
      </c>
      <c r="E370" s="23">
        <v>13455</v>
      </c>
      <c r="G370" s="21" t="s">
        <v>310</v>
      </c>
    </row>
    <row r="371" spans="1:7" ht="14.4" hidden="1">
      <c r="A371" s="21"/>
      <c r="B371" s="22">
        <v>286</v>
      </c>
      <c r="C371" s="21" t="s">
        <v>868</v>
      </c>
      <c r="D371" s="21">
        <v>13</v>
      </c>
      <c r="E371" s="23">
        <v>13454</v>
      </c>
      <c r="G371" s="21" t="s">
        <v>310</v>
      </c>
    </row>
    <row r="372" spans="1:7" ht="14.4" hidden="1">
      <c r="A372" s="21"/>
      <c r="B372" s="22">
        <v>287</v>
      </c>
      <c r="C372" s="21" t="s">
        <v>869</v>
      </c>
      <c r="D372" s="21">
        <v>13</v>
      </c>
      <c r="E372" s="23">
        <v>13454</v>
      </c>
      <c r="G372" s="21" t="s">
        <v>310</v>
      </c>
    </row>
    <row r="373" spans="1:7" ht="14.4" hidden="1">
      <c r="A373" s="21"/>
      <c r="B373" s="22">
        <v>288</v>
      </c>
      <c r="C373" s="21" t="s">
        <v>870</v>
      </c>
      <c r="D373" s="21">
        <v>13</v>
      </c>
      <c r="E373" s="23">
        <v>13451</v>
      </c>
      <c r="G373" s="21" t="s">
        <v>310</v>
      </c>
    </row>
    <row r="374" spans="1:7" ht="14.4" hidden="1">
      <c r="A374" s="21"/>
      <c r="B374" s="22">
        <v>289</v>
      </c>
      <c r="C374" s="21" t="s">
        <v>871</v>
      </c>
      <c r="D374" s="21">
        <v>13</v>
      </c>
      <c r="E374" s="23">
        <v>13450</v>
      </c>
      <c r="G374" s="21" t="s">
        <v>282</v>
      </c>
    </row>
    <row r="375" spans="1:7" ht="14.4" hidden="1">
      <c r="A375" s="21"/>
      <c r="B375" s="22">
        <v>290</v>
      </c>
      <c r="C375" s="21" t="s">
        <v>872</v>
      </c>
      <c r="D375" s="21">
        <v>13</v>
      </c>
      <c r="E375" s="23">
        <v>13450</v>
      </c>
      <c r="G375" s="21" t="s">
        <v>310</v>
      </c>
    </row>
    <row r="376" spans="1:7" ht="14.4" hidden="1">
      <c r="A376" s="21"/>
      <c r="B376" s="21" t="s">
        <v>298</v>
      </c>
      <c r="C376" s="21" t="s">
        <v>873</v>
      </c>
      <c r="D376" s="21">
        <v>13</v>
      </c>
      <c r="E376" s="23">
        <v>13447</v>
      </c>
      <c r="G376" s="21" t="s">
        <v>310</v>
      </c>
    </row>
    <row r="377" spans="1:7" ht="14.4" hidden="1">
      <c r="A377" s="21"/>
      <c r="B377" s="22">
        <v>291</v>
      </c>
      <c r="C377" s="21" t="s">
        <v>874</v>
      </c>
      <c r="D377" s="21">
        <v>13</v>
      </c>
      <c r="E377" s="23">
        <v>13441</v>
      </c>
      <c r="G377" s="21" t="s">
        <v>287</v>
      </c>
    </row>
    <row r="378" spans="1:7" ht="14.4" hidden="1">
      <c r="A378" s="21"/>
      <c r="B378" s="22">
        <v>292</v>
      </c>
      <c r="C378" s="21" t="s">
        <v>875</v>
      </c>
      <c r="D378" s="21">
        <v>13</v>
      </c>
      <c r="E378" s="23">
        <v>13441</v>
      </c>
      <c r="G378" s="21" t="s">
        <v>310</v>
      </c>
    </row>
    <row r="379" spans="1:7" ht="14.4" hidden="1">
      <c r="A379" s="21"/>
      <c r="B379" s="22">
        <v>293</v>
      </c>
      <c r="C379" s="21" t="s">
        <v>876</v>
      </c>
      <c r="D379" s="21">
        <v>13</v>
      </c>
      <c r="E379" s="23">
        <v>13436</v>
      </c>
      <c r="G379" s="21" t="s">
        <v>310</v>
      </c>
    </row>
    <row r="380" spans="1:7" ht="14.4" hidden="1">
      <c r="A380" s="21"/>
      <c r="B380" s="22">
        <v>294</v>
      </c>
      <c r="C380" s="21" t="s">
        <v>877</v>
      </c>
      <c r="D380" s="21">
        <v>13</v>
      </c>
      <c r="E380" s="23">
        <v>13435</v>
      </c>
      <c r="G380" s="21" t="s">
        <v>337</v>
      </c>
    </row>
    <row r="381" spans="1:7" ht="14.4" hidden="1">
      <c r="A381" s="21"/>
      <c r="B381" s="22">
        <v>295</v>
      </c>
      <c r="C381" s="21" t="s">
        <v>878</v>
      </c>
      <c r="D381" s="21">
        <v>13</v>
      </c>
      <c r="E381" s="23">
        <v>13435</v>
      </c>
      <c r="G381" s="21" t="s">
        <v>274</v>
      </c>
    </row>
    <row r="382" spans="1:7" ht="14.4" hidden="1">
      <c r="A382" s="21"/>
      <c r="B382" s="22">
        <v>296</v>
      </c>
      <c r="C382" s="21" t="s">
        <v>879</v>
      </c>
      <c r="D382" s="21">
        <v>13</v>
      </c>
      <c r="E382" s="23">
        <v>13434</v>
      </c>
      <c r="G382" s="21" t="s">
        <v>310</v>
      </c>
    </row>
    <row r="383" spans="1:7" ht="14.4" hidden="1">
      <c r="A383" s="21"/>
      <c r="B383" s="22">
        <v>297</v>
      </c>
      <c r="C383" s="21" t="s">
        <v>880</v>
      </c>
      <c r="D383" s="21">
        <v>13</v>
      </c>
      <c r="E383" s="23">
        <v>13433</v>
      </c>
      <c r="G383" s="21" t="s">
        <v>274</v>
      </c>
    </row>
    <row r="384" spans="1:7" ht="14.4" hidden="1">
      <c r="A384" s="21"/>
      <c r="B384" s="22">
        <v>298</v>
      </c>
      <c r="C384" s="21" t="s">
        <v>882</v>
      </c>
      <c r="D384" s="21">
        <v>13</v>
      </c>
      <c r="E384" s="23">
        <v>13432</v>
      </c>
      <c r="G384" s="21" t="s">
        <v>310</v>
      </c>
    </row>
    <row r="385" spans="1:7" ht="14.4" hidden="1">
      <c r="A385" s="21"/>
      <c r="B385" s="22">
        <v>299</v>
      </c>
      <c r="C385" s="21" t="s">
        <v>884</v>
      </c>
      <c r="D385" s="21">
        <v>13</v>
      </c>
      <c r="E385" s="23">
        <v>13432</v>
      </c>
      <c r="G385" s="21" t="s">
        <v>274</v>
      </c>
    </row>
    <row r="386" spans="1:7" ht="14.4" hidden="1">
      <c r="A386" s="21"/>
      <c r="B386" s="22">
        <v>300</v>
      </c>
      <c r="C386" s="21" t="s">
        <v>886</v>
      </c>
      <c r="D386" s="21">
        <v>13</v>
      </c>
      <c r="E386" s="23">
        <v>13432</v>
      </c>
      <c r="G386" s="21" t="s">
        <v>310</v>
      </c>
    </row>
    <row r="387" spans="1:7" ht="14.4" hidden="1">
      <c r="A387" s="21"/>
      <c r="B387" s="21" t="s">
        <v>278</v>
      </c>
      <c r="C387" s="21" t="s">
        <v>887</v>
      </c>
      <c r="D387" s="21">
        <v>13</v>
      </c>
      <c r="E387" s="23">
        <v>13432</v>
      </c>
      <c r="G387" s="21" t="s">
        <v>310</v>
      </c>
    </row>
    <row r="388" spans="1:7" ht="14.4" hidden="1">
      <c r="A388" s="21"/>
      <c r="B388" s="21" t="s">
        <v>298</v>
      </c>
      <c r="C388" s="21" t="s">
        <v>888</v>
      </c>
      <c r="D388" s="21">
        <v>13</v>
      </c>
      <c r="E388" s="23">
        <v>13430</v>
      </c>
      <c r="G388" s="21" t="s">
        <v>310</v>
      </c>
    </row>
    <row r="389" spans="1:7" ht="14.4" hidden="1">
      <c r="A389" s="21"/>
      <c r="B389" s="22">
        <v>301</v>
      </c>
      <c r="C389" s="21" t="s">
        <v>889</v>
      </c>
      <c r="D389" s="21">
        <v>13</v>
      </c>
      <c r="E389" s="23">
        <v>13428</v>
      </c>
      <c r="G389" s="21" t="s">
        <v>310</v>
      </c>
    </row>
    <row r="390" spans="1:7" ht="14.4" hidden="1">
      <c r="A390" s="21"/>
      <c r="B390" s="22">
        <v>302</v>
      </c>
      <c r="C390" s="21" t="s">
        <v>890</v>
      </c>
      <c r="D390" s="21">
        <v>13</v>
      </c>
      <c r="E390" s="23">
        <v>13427</v>
      </c>
      <c r="G390" s="21" t="s">
        <v>287</v>
      </c>
    </row>
    <row r="391" spans="1:7" ht="14.4" hidden="1">
      <c r="A391" s="21"/>
      <c r="B391" s="22">
        <v>303</v>
      </c>
      <c r="C391" s="21" t="s">
        <v>891</v>
      </c>
      <c r="D391" s="21">
        <v>13</v>
      </c>
      <c r="E391" s="23">
        <v>13427</v>
      </c>
      <c r="G391" s="21" t="s">
        <v>310</v>
      </c>
    </row>
    <row r="392" spans="1:7" ht="14.4" hidden="1">
      <c r="A392" s="21"/>
      <c r="B392" s="22">
        <v>304</v>
      </c>
      <c r="C392" s="21" t="s">
        <v>892</v>
      </c>
      <c r="D392" s="21">
        <v>13</v>
      </c>
      <c r="E392" s="23">
        <v>13425</v>
      </c>
      <c r="G392" s="21" t="s">
        <v>287</v>
      </c>
    </row>
    <row r="393" spans="1:7" ht="14.4" hidden="1">
      <c r="A393" s="21"/>
      <c r="B393" s="22">
        <v>305</v>
      </c>
      <c r="C393" s="21" t="s">
        <v>893</v>
      </c>
      <c r="D393" s="21">
        <v>13</v>
      </c>
      <c r="E393" s="23">
        <v>13423</v>
      </c>
      <c r="G393" s="21" t="s">
        <v>282</v>
      </c>
    </row>
    <row r="394" spans="1:7" ht="14.4" hidden="1">
      <c r="A394" s="21"/>
      <c r="B394" s="22">
        <v>306</v>
      </c>
      <c r="C394" s="21" t="s">
        <v>894</v>
      </c>
      <c r="D394" s="21">
        <v>13</v>
      </c>
      <c r="E394" s="23">
        <v>13420</v>
      </c>
      <c r="G394" s="21" t="s">
        <v>337</v>
      </c>
    </row>
    <row r="395" spans="1:7" ht="14.4" hidden="1">
      <c r="A395" s="21"/>
      <c r="B395" s="22">
        <v>307</v>
      </c>
      <c r="C395" s="21" t="s">
        <v>895</v>
      </c>
      <c r="D395" s="21">
        <v>13</v>
      </c>
      <c r="E395" s="23">
        <v>13420</v>
      </c>
      <c r="G395" s="21" t="s">
        <v>752</v>
      </c>
    </row>
    <row r="396" spans="1:7" ht="14.4" hidden="1">
      <c r="A396" s="21"/>
      <c r="B396" s="21" t="s">
        <v>298</v>
      </c>
      <c r="C396" s="21" t="s">
        <v>896</v>
      </c>
      <c r="D396" s="21">
        <v>13</v>
      </c>
      <c r="E396" s="23">
        <v>13420</v>
      </c>
      <c r="G396" s="21" t="s">
        <v>310</v>
      </c>
    </row>
    <row r="397" spans="1:7" ht="14.4" hidden="1">
      <c r="A397" s="21"/>
      <c r="B397" s="21" t="s">
        <v>298</v>
      </c>
      <c r="C397" s="21" t="s">
        <v>897</v>
      </c>
      <c r="D397" s="21">
        <v>13</v>
      </c>
      <c r="E397" s="23">
        <v>13420</v>
      </c>
      <c r="G397" s="21" t="s">
        <v>310</v>
      </c>
    </row>
    <row r="398" spans="1:7" ht="14.4" hidden="1">
      <c r="A398" s="21"/>
      <c r="B398" s="21" t="s">
        <v>298</v>
      </c>
      <c r="C398" s="21" t="s">
        <v>898</v>
      </c>
      <c r="D398" s="21">
        <v>13</v>
      </c>
      <c r="E398" s="23">
        <v>13420</v>
      </c>
      <c r="G398" s="21" t="s">
        <v>287</v>
      </c>
    </row>
    <row r="399" spans="1:7" ht="14.4" hidden="1">
      <c r="A399" s="21"/>
      <c r="B399" s="21" t="s">
        <v>298</v>
      </c>
      <c r="C399" s="21" t="s">
        <v>899</v>
      </c>
      <c r="D399" s="21">
        <v>13</v>
      </c>
      <c r="E399" s="23">
        <v>13420</v>
      </c>
      <c r="G399" s="21" t="s">
        <v>310</v>
      </c>
    </row>
    <row r="400" spans="1:7" ht="14.4" hidden="1">
      <c r="A400" s="21"/>
      <c r="B400" s="22">
        <v>308</v>
      </c>
      <c r="C400" s="21" t="s">
        <v>900</v>
      </c>
      <c r="D400" s="21">
        <v>13</v>
      </c>
      <c r="E400" s="23">
        <v>13417</v>
      </c>
      <c r="G400" s="21" t="s">
        <v>310</v>
      </c>
    </row>
    <row r="401" spans="1:7" ht="14.4" hidden="1">
      <c r="A401" s="21"/>
      <c r="B401" s="22">
        <v>309</v>
      </c>
      <c r="C401" s="21" t="s">
        <v>901</v>
      </c>
      <c r="D401" s="21">
        <v>13</v>
      </c>
      <c r="E401" s="23">
        <v>13416</v>
      </c>
      <c r="G401" s="21" t="s">
        <v>310</v>
      </c>
    </row>
    <row r="402" spans="1:7" ht="14.4" hidden="1">
      <c r="A402" s="21"/>
      <c r="B402" s="22">
        <v>310</v>
      </c>
      <c r="C402" s="21" t="s">
        <v>902</v>
      </c>
      <c r="D402" s="21">
        <v>13</v>
      </c>
      <c r="E402" s="23">
        <v>13414</v>
      </c>
      <c r="G402" s="21" t="s">
        <v>282</v>
      </c>
    </row>
    <row r="403" spans="1:7" ht="14.4" hidden="1">
      <c r="A403" s="21"/>
      <c r="B403" s="22">
        <v>311</v>
      </c>
      <c r="C403" s="21" t="s">
        <v>903</v>
      </c>
      <c r="D403" s="21">
        <v>13</v>
      </c>
      <c r="E403" s="23">
        <v>13411</v>
      </c>
      <c r="G403" s="21" t="s">
        <v>310</v>
      </c>
    </row>
    <row r="404" spans="1:7" ht="14.4" hidden="1">
      <c r="A404" s="21"/>
      <c r="B404" s="22">
        <v>312</v>
      </c>
      <c r="C404" s="21" t="s">
        <v>904</v>
      </c>
      <c r="D404" s="21">
        <v>13</v>
      </c>
      <c r="E404" s="23">
        <v>13410</v>
      </c>
      <c r="G404" s="21" t="s">
        <v>310</v>
      </c>
    </row>
    <row r="405" spans="1:7" ht="14.4" hidden="1">
      <c r="A405" s="21"/>
      <c r="B405" s="21" t="s">
        <v>278</v>
      </c>
      <c r="C405" s="21" t="s">
        <v>905</v>
      </c>
      <c r="D405" s="21">
        <v>13</v>
      </c>
      <c r="E405" s="23">
        <v>13410</v>
      </c>
      <c r="G405" s="21" t="s">
        <v>310</v>
      </c>
    </row>
    <row r="406" spans="1:7" ht="14.4" hidden="1">
      <c r="A406" s="21"/>
      <c r="B406" s="22">
        <v>314</v>
      </c>
      <c r="C406" s="21" t="s">
        <v>906</v>
      </c>
      <c r="D406" s="21">
        <v>13</v>
      </c>
      <c r="E406" s="23">
        <v>13409</v>
      </c>
      <c r="G406" s="21" t="s">
        <v>287</v>
      </c>
    </row>
    <row r="407" spans="1:7" ht="14.4" hidden="1">
      <c r="A407" s="21"/>
      <c r="B407" s="22">
        <v>313</v>
      </c>
      <c r="C407" s="21" t="s">
        <v>909</v>
      </c>
      <c r="D407" s="21">
        <v>13</v>
      </c>
      <c r="E407" s="23">
        <v>13409</v>
      </c>
      <c r="G407" s="21" t="s">
        <v>337</v>
      </c>
    </row>
    <row r="408" spans="1:7" ht="14.4" hidden="1">
      <c r="A408" s="21"/>
      <c r="B408" s="21" t="s">
        <v>298</v>
      </c>
      <c r="C408" s="21" t="s">
        <v>910</v>
      </c>
      <c r="D408" s="21">
        <v>13</v>
      </c>
      <c r="E408" s="23">
        <v>13409</v>
      </c>
      <c r="G408" s="21" t="s">
        <v>300</v>
      </c>
    </row>
    <row r="409" spans="1:7" ht="14.4" hidden="1">
      <c r="A409" s="21"/>
      <c r="B409" s="22">
        <v>315</v>
      </c>
      <c r="C409" s="21" t="s">
        <v>911</v>
      </c>
      <c r="D409" s="21">
        <v>13</v>
      </c>
      <c r="E409" s="23">
        <v>13408</v>
      </c>
      <c r="G409" s="21" t="s">
        <v>287</v>
      </c>
    </row>
    <row r="410" spans="1:7" ht="14.4" hidden="1">
      <c r="A410" s="21"/>
      <c r="B410" s="22">
        <v>316</v>
      </c>
      <c r="C410" s="21" t="s">
        <v>912</v>
      </c>
      <c r="D410" s="21">
        <v>13</v>
      </c>
      <c r="E410" s="23">
        <v>13405</v>
      </c>
      <c r="G410" s="21" t="s">
        <v>282</v>
      </c>
    </row>
    <row r="411" spans="1:7" ht="14.4" hidden="1">
      <c r="A411" s="21"/>
      <c r="B411" s="22">
        <v>317</v>
      </c>
      <c r="C411" s="21" t="s">
        <v>913</v>
      </c>
      <c r="D411" s="21">
        <v>13</v>
      </c>
      <c r="E411" s="23">
        <v>13402</v>
      </c>
      <c r="G411" s="21" t="s">
        <v>310</v>
      </c>
    </row>
    <row r="412" spans="1:7" ht="14.4" hidden="1">
      <c r="A412" s="21"/>
      <c r="B412" s="22">
        <v>318</v>
      </c>
      <c r="C412" s="21" t="s">
        <v>914</v>
      </c>
      <c r="D412" s="21">
        <v>13</v>
      </c>
      <c r="E412" s="23">
        <v>13402</v>
      </c>
      <c r="G412" s="21" t="s">
        <v>310</v>
      </c>
    </row>
    <row r="413" spans="1:7" ht="14.4" hidden="1">
      <c r="A413" s="21"/>
      <c r="B413" s="22">
        <v>319</v>
      </c>
      <c r="C413" s="21" t="s">
        <v>915</v>
      </c>
      <c r="D413" s="21">
        <v>13</v>
      </c>
      <c r="E413" s="23">
        <v>13402</v>
      </c>
      <c r="G413" s="21" t="s">
        <v>310</v>
      </c>
    </row>
    <row r="414" spans="1:7" ht="14.4" hidden="1">
      <c r="A414" s="21"/>
      <c r="B414" s="22">
        <v>320</v>
      </c>
      <c r="C414" s="21" t="s">
        <v>916</v>
      </c>
      <c r="D414" s="21">
        <v>13</v>
      </c>
      <c r="E414" s="23">
        <v>13401</v>
      </c>
      <c r="G414" s="21" t="s">
        <v>337</v>
      </c>
    </row>
    <row r="415" spans="1:7" ht="14.4" hidden="1">
      <c r="A415" s="21"/>
      <c r="B415" s="22">
        <v>321</v>
      </c>
      <c r="C415" s="21" t="s">
        <v>917</v>
      </c>
      <c r="D415" s="21">
        <v>13</v>
      </c>
      <c r="E415" s="23">
        <v>13401</v>
      </c>
      <c r="G415" s="21" t="s">
        <v>282</v>
      </c>
    </row>
    <row r="416" spans="1:7" ht="14.4" hidden="1">
      <c r="A416" s="21"/>
      <c r="B416" s="21" t="s">
        <v>298</v>
      </c>
      <c r="C416" s="21" t="s">
        <v>918</v>
      </c>
      <c r="D416" s="21">
        <v>13</v>
      </c>
      <c r="E416" s="23">
        <v>13401</v>
      </c>
      <c r="G416" s="21" t="s">
        <v>310</v>
      </c>
    </row>
    <row r="417" spans="1:7" ht="14.4" hidden="1">
      <c r="A417" s="21"/>
      <c r="B417" s="22">
        <v>322</v>
      </c>
      <c r="C417" s="21" t="s">
        <v>919</v>
      </c>
      <c r="D417" s="21">
        <v>13</v>
      </c>
      <c r="E417" s="23">
        <v>13400</v>
      </c>
      <c r="G417" s="21" t="s">
        <v>300</v>
      </c>
    </row>
    <row r="418" spans="1:7" ht="14.4" hidden="1">
      <c r="A418" s="21"/>
      <c r="B418" s="21" t="s">
        <v>298</v>
      </c>
      <c r="C418" s="21" t="s">
        <v>920</v>
      </c>
      <c r="D418" s="21">
        <v>13</v>
      </c>
      <c r="E418" s="23">
        <v>13397</v>
      </c>
      <c r="G418" s="21" t="s">
        <v>287</v>
      </c>
    </row>
    <row r="419" spans="1:7" ht="14.4" hidden="1">
      <c r="A419" s="21"/>
      <c r="B419" s="22">
        <v>323</v>
      </c>
      <c r="C419" s="21" t="s">
        <v>921</v>
      </c>
      <c r="D419" s="21">
        <v>13</v>
      </c>
      <c r="E419" s="23">
        <v>13393</v>
      </c>
      <c r="G419" s="21" t="s">
        <v>310</v>
      </c>
    </row>
    <row r="420" spans="1:7" ht="14.4" hidden="1">
      <c r="A420" s="21"/>
      <c r="B420" s="22">
        <v>324</v>
      </c>
      <c r="C420" s="21" t="s">
        <v>922</v>
      </c>
      <c r="D420" s="21">
        <v>13</v>
      </c>
      <c r="E420" s="23">
        <v>13391</v>
      </c>
      <c r="G420" s="21" t="s">
        <v>287</v>
      </c>
    </row>
    <row r="421" spans="1:7" ht="14.4" hidden="1">
      <c r="A421" s="21"/>
      <c r="B421" s="22">
        <v>325</v>
      </c>
      <c r="C421" s="21" t="s">
        <v>923</v>
      </c>
      <c r="D421" s="21">
        <v>13</v>
      </c>
      <c r="E421" s="23">
        <v>13391</v>
      </c>
      <c r="G421" s="21" t="s">
        <v>287</v>
      </c>
    </row>
    <row r="422" spans="1:7" ht="14.4" hidden="1">
      <c r="A422" s="21"/>
      <c r="B422" s="21" t="s">
        <v>278</v>
      </c>
      <c r="C422" s="21" t="s">
        <v>924</v>
      </c>
      <c r="D422" s="21">
        <v>13</v>
      </c>
      <c r="E422" s="23">
        <v>13391</v>
      </c>
      <c r="G422" s="21" t="s">
        <v>310</v>
      </c>
    </row>
    <row r="423" spans="1:7" ht="14.4" hidden="1">
      <c r="A423" s="21"/>
      <c r="B423" s="22">
        <v>326</v>
      </c>
      <c r="C423" s="21" t="s">
        <v>925</v>
      </c>
      <c r="D423" s="21">
        <v>13</v>
      </c>
      <c r="E423" s="23">
        <v>13385</v>
      </c>
      <c r="G423" s="21" t="s">
        <v>310</v>
      </c>
    </row>
    <row r="424" spans="1:7" ht="14.4" hidden="1">
      <c r="A424" s="21"/>
      <c r="B424" s="22">
        <v>327</v>
      </c>
      <c r="C424" s="21" t="s">
        <v>926</v>
      </c>
      <c r="D424" s="21">
        <v>13</v>
      </c>
      <c r="E424" s="23">
        <v>13384</v>
      </c>
      <c r="G424" s="21" t="s">
        <v>274</v>
      </c>
    </row>
    <row r="425" spans="1:7" ht="14.4" hidden="1">
      <c r="A425" s="21"/>
      <c r="B425" s="22">
        <v>328</v>
      </c>
      <c r="C425" s="21" t="s">
        <v>927</v>
      </c>
      <c r="D425" s="21">
        <v>13</v>
      </c>
      <c r="E425" s="23">
        <v>13384</v>
      </c>
      <c r="G425" s="21" t="s">
        <v>282</v>
      </c>
    </row>
    <row r="426" spans="1:7" ht="14.4" hidden="1">
      <c r="A426" s="21"/>
      <c r="B426" s="22">
        <v>329</v>
      </c>
      <c r="C426" s="21" t="s">
        <v>928</v>
      </c>
      <c r="D426" s="21">
        <v>13</v>
      </c>
      <c r="E426" s="23">
        <v>13383</v>
      </c>
      <c r="G426" s="21" t="s">
        <v>310</v>
      </c>
    </row>
    <row r="427" spans="1:7" ht="14.4" hidden="1">
      <c r="A427" s="21"/>
      <c r="B427" s="22">
        <v>330</v>
      </c>
      <c r="C427" s="21" t="s">
        <v>929</v>
      </c>
      <c r="D427" s="21">
        <v>13</v>
      </c>
      <c r="E427" s="23">
        <v>13382</v>
      </c>
      <c r="G427" s="21" t="s">
        <v>274</v>
      </c>
    </row>
    <row r="428" spans="1:7" ht="14.4" hidden="1">
      <c r="A428" s="21"/>
      <c r="B428" s="22">
        <v>331</v>
      </c>
      <c r="C428" s="21" t="s">
        <v>930</v>
      </c>
      <c r="D428" s="21">
        <v>13</v>
      </c>
      <c r="E428" s="23">
        <v>13382</v>
      </c>
      <c r="G428" s="21" t="s">
        <v>274</v>
      </c>
    </row>
    <row r="429" spans="1:7" ht="14.4" hidden="1">
      <c r="A429" s="21"/>
      <c r="B429" s="22">
        <v>332</v>
      </c>
      <c r="C429" s="21" t="s">
        <v>931</v>
      </c>
      <c r="D429" s="21">
        <v>13</v>
      </c>
      <c r="E429" s="23">
        <v>13380</v>
      </c>
      <c r="G429" s="21" t="s">
        <v>337</v>
      </c>
    </row>
    <row r="430" spans="1:7" ht="14.4" hidden="1">
      <c r="A430" s="21"/>
      <c r="B430" s="22">
        <v>333</v>
      </c>
      <c r="C430" s="21" t="s">
        <v>932</v>
      </c>
      <c r="D430" s="21">
        <v>13</v>
      </c>
      <c r="E430" s="23">
        <v>13380</v>
      </c>
      <c r="G430" s="21" t="s">
        <v>274</v>
      </c>
    </row>
    <row r="431" spans="1:7" ht="14.4" hidden="1">
      <c r="A431" s="21"/>
      <c r="B431" s="22">
        <v>334</v>
      </c>
      <c r="C431" s="21" t="s">
        <v>934</v>
      </c>
      <c r="D431" s="21">
        <v>13</v>
      </c>
      <c r="E431" s="23">
        <v>13380</v>
      </c>
      <c r="G431" s="21" t="s">
        <v>310</v>
      </c>
    </row>
    <row r="432" spans="1:7" ht="14.4" hidden="1">
      <c r="A432" s="21"/>
      <c r="B432" s="22">
        <v>335</v>
      </c>
      <c r="C432" s="21" t="s">
        <v>936</v>
      </c>
      <c r="D432" s="21">
        <v>13</v>
      </c>
      <c r="E432" s="23">
        <v>13380</v>
      </c>
      <c r="G432" s="21" t="s">
        <v>337</v>
      </c>
    </row>
    <row r="433" spans="1:7" ht="14.4" hidden="1">
      <c r="A433" s="21"/>
      <c r="B433" s="22">
        <v>336</v>
      </c>
      <c r="C433" s="21" t="s">
        <v>938</v>
      </c>
      <c r="D433" s="21">
        <v>13</v>
      </c>
      <c r="E433" s="23">
        <v>13380</v>
      </c>
      <c r="G433" s="21" t="s">
        <v>282</v>
      </c>
    </row>
    <row r="434" spans="1:7" ht="14.4" hidden="1">
      <c r="A434" s="21"/>
      <c r="B434" s="21" t="s">
        <v>278</v>
      </c>
      <c r="C434" s="21" t="s">
        <v>940</v>
      </c>
      <c r="D434" s="21">
        <v>13</v>
      </c>
      <c r="E434" s="23">
        <v>13380</v>
      </c>
      <c r="G434" s="21" t="s">
        <v>310</v>
      </c>
    </row>
    <row r="435" spans="1:7" ht="14.4" hidden="1">
      <c r="A435" s="21"/>
      <c r="B435" s="22">
        <v>337</v>
      </c>
      <c r="C435" s="21" t="s">
        <v>941</v>
      </c>
      <c r="D435" s="21">
        <v>13</v>
      </c>
      <c r="E435" s="23">
        <v>13378</v>
      </c>
      <c r="G435" s="21" t="s">
        <v>337</v>
      </c>
    </row>
    <row r="436" spans="1:7" ht="14.4" hidden="1">
      <c r="A436" s="21"/>
      <c r="B436" s="22">
        <v>338</v>
      </c>
      <c r="C436" s="21" t="s">
        <v>942</v>
      </c>
      <c r="D436" s="21">
        <v>13</v>
      </c>
      <c r="E436" s="23">
        <v>13377</v>
      </c>
      <c r="G436" s="21" t="s">
        <v>310</v>
      </c>
    </row>
    <row r="437" spans="1:7" ht="14.4" hidden="1">
      <c r="A437" s="21"/>
      <c r="B437" s="22">
        <v>339</v>
      </c>
      <c r="C437" s="21" t="s">
        <v>943</v>
      </c>
      <c r="D437" s="21">
        <v>13</v>
      </c>
      <c r="E437" s="23">
        <v>13375</v>
      </c>
      <c r="G437" s="21" t="s">
        <v>282</v>
      </c>
    </row>
    <row r="438" spans="1:7" ht="14.4" hidden="1">
      <c r="A438" s="21"/>
      <c r="B438" s="22">
        <v>340</v>
      </c>
      <c r="C438" s="21" t="s">
        <v>944</v>
      </c>
      <c r="D438" s="21">
        <v>13</v>
      </c>
      <c r="E438" s="23">
        <v>13374</v>
      </c>
      <c r="G438" s="21" t="s">
        <v>274</v>
      </c>
    </row>
    <row r="439" spans="1:7" ht="14.4" hidden="1">
      <c r="A439" s="21"/>
      <c r="B439" s="22">
        <v>341</v>
      </c>
      <c r="C439" s="21" t="s">
        <v>945</v>
      </c>
      <c r="D439" s="21">
        <v>13</v>
      </c>
      <c r="E439" s="23">
        <v>13374</v>
      </c>
      <c r="G439" s="21" t="s">
        <v>310</v>
      </c>
    </row>
    <row r="440" spans="1:7" ht="14.4" hidden="1">
      <c r="A440" s="21"/>
      <c r="B440" s="22">
        <v>342</v>
      </c>
      <c r="C440" s="21" t="s">
        <v>946</v>
      </c>
      <c r="D440" s="21">
        <v>13</v>
      </c>
      <c r="E440" s="23">
        <v>13370</v>
      </c>
      <c r="G440" s="21" t="s">
        <v>287</v>
      </c>
    </row>
    <row r="441" spans="1:7" ht="14.4" hidden="1">
      <c r="A441" s="21"/>
      <c r="B441" s="22">
        <v>343</v>
      </c>
      <c r="C441" s="21" t="s">
        <v>947</v>
      </c>
      <c r="D441" s="21">
        <v>13</v>
      </c>
      <c r="E441" s="23">
        <v>13370</v>
      </c>
      <c r="G441" s="21" t="s">
        <v>337</v>
      </c>
    </row>
    <row r="442" spans="1:7" ht="14.4" hidden="1">
      <c r="A442" s="21"/>
      <c r="B442" s="22">
        <v>344</v>
      </c>
      <c r="C442" s="21" t="s">
        <v>948</v>
      </c>
      <c r="D442" s="21">
        <v>13</v>
      </c>
      <c r="E442" s="23">
        <v>13370</v>
      </c>
      <c r="G442" s="21" t="s">
        <v>310</v>
      </c>
    </row>
    <row r="443" spans="1:7" ht="14.4" hidden="1">
      <c r="A443" s="21"/>
      <c r="B443" s="22">
        <v>345</v>
      </c>
      <c r="C443" s="21" t="s">
        <v>949</v>
      </c>
      <c r="D443" s="21">
        <v>13</v>
      </c>
      <c r="E443" s="23">
        <v>13369</v>
      </c>
      <c r="G443" s="21" t="s">
        <v>274</v>
      </c>
    </row>
    <row r="444" spans="1:7" ht="14.4" hidden="1">
      <c r="A444" s="21"/>
      <c r="B444" s="22">
        <v>346</v>
      </c>
      <c r="C444" s="21" t="s">
        <v>950</v>
      </c>
      <c r="D444" s="21">
        <v>13</v>
      </c>
      <c r="E444" s="23">
        <v>13368</v>
      </c>
      <c r="G444" s="21" t="s">
        <v>310</v>
      </c>
    </row>
    <row r="445" spans="1:7" ht="14.4" hidden="1">
      <c r="A445" s="21"/>
      <c r="B445" s="21" t="s">
        <v>278</v>
      </c>
      <c r="C445" s="21" t="s">
        <v>951</v>
      </c>
      <c r="D445" s="21">
        <v>13</v>
      </c>
      <c r="E445" s="23">
        <v>13363</v>
      </c>
      <c r="G445" s="21" t="s">
        <v>287</v>
      </c>
    </row>
    <row r="446" spans="1:7" ht="14.4" hidden="1">
      <c r="A446" s="21"/>
      <c r="B446" s="22">
        <v>347</v>
      </c>
      <c r="C446" s="21" t="s">
        <v>952</v>
      </c>
      <c r="D446" s="21">
        <v>13</v>
      </c>
      <c r="E446" s="23">
        <v>13362</v>
      </c>
      <c r="G446" s="21" t="s">
        <v>282</v>
      </c>
    </row>
    <row r="447" spans="1:7" ht="14.4" hidden="1">
      <c r="A447" s="21"/>
      <c r="B447" s="22">
        <v>348</v>
      </c>
      <c r="C447" s="21" t="s">
        <v>953</v>
      </c>
      <c r="D447" s="21">
        <v>13</v>
      </c>
      <c r="E447" s="23">
        <v>13362</v>
      </c>
      <c r="G447" s="21" t="s">
        <v>337</v>
      </c>
    </row>
    <row r="448" spans="1:7" ht="14.4" hidden="1">
      <c r="A448" s="21"/>
      <c r="B448" s="22">
        <v>349</v>
      </c>
      <c r="C448" s="21" t="s">
        <v>954</v>
      </c>
      <c r="D448" s="21">
        <v>13</v>
      </c>
      <c r="E448" s="23">
        <v>13362</v>
      </c>
      <c r="G448" s="21" t="s">
        <v>287</v>
      </c>
    </row>
    <row r="449" spans="1:7" ht="14.4" hidden="1">
      <c r="A449" s="21"/>
      <c r="B449" s="22">
        <v>350</v>
      </c>
      <c r="C449" s="21" t="s">
        <v>955</v>
      </c>
      <c r="D449" s="21">
        <v>13</v>
      </c>
      <c r="E449" s="23">
        <v>13359</v>
      </c>
      <c r="G449" s="21" t="s">
        <v>310</v>
      </c>
    </row>
    <row r="450" spans="1:7" ht="14.4" hidden="1">
      <c r="A450" s="21"/>
      <c r="B450" s="22">
        <v>351</v>
      </c>
      <c r="C450" s="21" t="s">
        <v>956</v>
      </c>
      <c r="D450" s="21">
        <v>13</v>
      </c>
      <c r="E450" s="23">
        <v>13357</v>
      </c>
      <c r="G450" s="21" t="s">
        <v>752</v>
      </c>
    </row>
    <row r="451" spans="1:7" ht="14.4" hidden="1">
      <c r="A451" s="21"/>
      <c r="B451" s="22">
        <v>352</v>
      </c>
      <c r="C451" s="21" t="s">
        <v>957</v>
      </c>
      <c r="D451" s="21">
        <v>13</v>
      </c>
      <c r="E451" s="23">
        <v>13352</v>
      </c>
      <c r="G451" s="21" t="s">
        <v>287</v>
      </c>
    </row>
    <row r="452" spans="1:7" ht="14.4" hidden="1">
      <c r="A452" s="21"/>
      <c r="B452" s="22">
        <v>353</v>
      </c>
      <c r="C452" s="21" t="s">
        <v>958</v>
      </c>
      <c r="D452" s="21">
        <v>13</v>
      </c>
      <c r="E452" s="23">
        <v>13350</v>
      </c>
      <c r="G452" s="21" t="s">
        <v>282</v>
      </c>
    </row>
    <row r="453" spans="1:7" ht="14.4" hidden="1">
      <c r="A453" s="21"/>
      <c r="B453" s="22">
        <v>354</v>
      </c>
      <c r="C453" s="21" t="s">
        <v>959</v>
      </c>
      <c r="D453" s="21">
        <v>13</v>
      </c>
      <c r="E453" s="23">
        <v>13348</v>
      </c>
      <c r="G453" s="21" t="s">
        <v>337</v>
      </c>
    </row>
    <row r="454" spans="1:7" ht="14.4" hidden="1">
      <c r="A454" s="21"/>
      <c r="B454" s="21" t="s">
        <v>298</v>
      </c>
      <c r="C454" s="21" t="s">
        <v>960</v>
      </c>
      <c r="D454" s="21">
        <v>13</v>
      </c>
      <c r="E454" s="23">
        <v>13348</v>
      </c>
      <c r="G454" s="21" t="s">
        <v>300</v>
      </c>
    </row>
    <row r="455" spans="1:7" ht="14.4" hidden="1">
      <c r="A455" s="21"/>
      <c r="B455" s="22">
        <v>355</v>
      </c>
      <c r="C455" s="21" t="s">
        <v>961</v>
      </c>
      <c r="D455" s="21">
        <v>13</v>
      </c>
      <c r="E455" s="23">
        <v>13346</v>
      </c>
      <c r="G455" s="21" t="s">
        <v>274</v>
      </c>
    </row>
    <row r="456" spans="1:7" ht="14.4" hidden="1">
      <c r="A456" s="21"/>
      <c r="B456" s="22">
        <v>356</v>
      </c>
      <c r="C456" s="21" t="s">
        <v>962</v>
      </c>
      <c r="D456" s="21">
        <v>13</v>
      </c>
      <c r="E456" s="23">
        <v>13345</v>
      </c>
      <c r="G456" s="21" t="s">
        <v>274</v>
      </c>
    </row>
    <row r="457" spans="1:7" ht="14.4" hidden="1">
      <c r="A457" s="21"/>
      <c r="B457" s="22">
        <v>357</v>
      </c>
      <c r="C457" s="21" t="s">
        <v>963</v>
      </c>
      <c r="D457" s="21">
        <v>13</v>
      </c>
      <c r="E457" s="23">
        <v>13342</v>
      </c>
      <c r="G457" s="21" t="s">
        <v>310</v>
      </c>
    </row>
    <row r="458" spans="1:7" ht="14.4" hidden="1">
      <c r="A458" s="21"/>
      <c r="B458" s="22">
        <v>358</v>
      </c>
      <c r="C458" s="21" t="s">
        <v>964</v>
      </c>
      <c r="D458" s="21">
        <v>13</v>
      </c>
      <c r="E458" s="23">
        <v>13342</v>
      </c>
      <c r="G458" s="21" t="s">
        <v>310</v>
      </c>
    </row>
    <row r="459" spans="1:7" ht="14.4" hidden="1">
      <c r="A459" s="21"/>
      <c r="B459" s="22">
        <v>359</v>
      </c>
      <c r="C459" s="21" t="s">
        <v>965</v>
      </c>
      <c r="D459" s="21">
        <v>13</v>
      </c>
      <c r="E459" s="23">
        <v>13340</v>
      </c>
      <c r="G459" s="21" t="s">
        <v>282</v>
      </c>
    </row>
    <row r="460" spans="1:7" ht="14.4" hidden="1">
      <c r="A460" s="21"/>
      <c r="B460" s="22">
        <v>360</v>
      </c>
      <c r="C460" s="21" t="s">
        <v>966</v>
      </c>
      <c r="D460" s="21">
        <v>13</v>
      </c>
      <c r="E460" s="23">
        <v>13340</v>
      </c>
      <c r="G460" s="21" t="s">
        <v>310</v>
      </c>
    </row>
    <row r="461" spans="1:7" ht="14.4" hidden="1">
      <c r="A461" s="21"/>
      <c r="B461" s="22">
        <v>361</v>
      </c>
      <c r="C461" s="21" t="s">
        <v>967</v>
      </c>
      <c r="D461" s="21">
        <v>13</v>
      </c>
      <c r="E461" s="23">
        <v>13340</v>
      </c>
      <c r="G461" s="21" t="s">
        <v>282</v>
      </c>
    </row>
    <row r="462" spans="1:7" ht="14.4" hidden="1">
      <c r="A462" s="21"/>
      <c r="B462" s="22">
        <v>362</v>
      </c>
      <c r="C462" s="21" t="s">
        <v>968</v>
      </c>
      <c r="D462" s="21">
        <v>13</v>
      </c>
      <c r="E462" s="23">
        <v>13340</v>
      </c>
      <c r="G462" s="21" t="s">
        <v>310</v>
      </c>
    </row>
    <row r="463" spans="1:7" ht="14.4" hidden="1">
      <c r="A463" s="21"/>
      <c r="B463" s="22">
        <v>363</v>
      </c>
      <c r="C463" s="21" t="s">
        <v>969</v>
      </c>
      <c r="D463" s="21">
        <v>13</v>
      </c>
      <c r="E463" s="23">
        <v>13340</v>
      </c>
      <c r="G463" s="21" t="s">
        <v>310</v>
      </c>
    </row>
    <row r="464" spans="1:7" ht="14.4" hidden="1">
      <c r="A464" s="21"/>
      <c r="B464" s="21" t="s">
        <v>298</v>
      </c>
      <c r="C464" s="21" t="s">
        <v>970</v>
      </c>
      <c r="D464" s="21">
        <v>13</v>
      </c>
      <c r="E464" s="23">
        <v>13340</v>
      </c>
      <c r="G464" s="21" t="s">
        <v>310</v>
      </c>
    </row>
    <row r="465" spans="1:7" ht="14.4" hidden="1">
      <c r="A465" s="21"/>
      <c r="B465" s="21" t="s">
        <v>298</v>
      </c>
      <c r="C465" s="21" t="s">
        <v>971</v>
      </c>
      <c r="D465" s="21">
        <v>13</v>
      </c>
      <c r="E465" s="23">
        <v>13340</v>
      </c>
      <c r="G465" s="21" t="s">
        <v>287</v>
      </c>
    </row>
    <row r="466" spans="1:7" ht="14.4" hidden="1">
      <c r="A466" s="21"/>
      <c r="B466" s="21" t="s">
        <v>298</v>
      </c>
      <c r="C466" s="21" t="s">
        <v>972</v>
      </c>
      <c r="D466" s="21">
        <v>13</v>
      </c>
      <c r="E466" s="23">
        <v>13340</v>
      </c>
      <c r="G466" s="21" t="s">
        <v>287</v>
      </c>
    </row>
    <row r="467" spans="1:7" ht="14.4" hidden="1">
      <c r="A467" s="21"/>
      <c r="B467" s="22">
        <v>364</v>
      </c>
      <c r="C467" s="21" t="s">
        <v>973</v>
      </c>
      <c r="D467" s="21">
        <v>13</v>
      </c>
      <c r="E467" s="23">
        <v>13339</v>
      </c>
      <c r="G467" s="21" t="s">
        <v>310</v>
      </c>
    </row>
    <row r="468" spans="1:7" ht="14.4" hidden="1">
      <c r="A468" s="21"/>
      <c r="B468" s="22">
        <v>365</v>
      </c>
      <c r="C468" s="21" t="s">
        <v>974</v>
      </c>
      <c r="D468" s="21">
        <v>13</v>
      </c>
      <c r="E468" s="23">
        <v>13336</v>
      </c>
      <c r="G468" s="21" t="s">
        <v>337</v>
      </c>
    </row>
    <row r="469" spans="1:7" ht="14.4" hidden="1">
      <c r="A469" s="21"/>
      <c r="B469" s="21" t="s">
        <v>298</v>
      </c>
      <c r="C469" s="21" t="s">
        <v>975</v>
      </c>
      <c r="D469" s="21">
        <v>13</v>
      </c>
      <c r="E469" s="23">
        <v>13335</v>
      </c>
      <c r="G469" s="21" t="s">
        <v>282</v>
      </c>
    </row>
    <row r="470" spans="1:7" ht="14.4" hidden="1">
      <c r="A470" s="21"/>
      <c r="B470" s="22">
        <v>366</v>
      </c>
      <c r="C470" s="21" t="s">
        <v>976</v>
      </c>
      <c r="D470" s="21">
        <v>13</v>
      </c>
      <c r="E470" s="23">
        <v>13334</v>
      </c>
      <c r="G470" s="21" t="s">
        <v>310</v>
      </c>
    </row>
    <row r="471" spans="1:7" ht="14.4" hidden="1">
      <c r="A471" s="21"/>
      <c r="B471" s="22">
        <v>367</v>
      </c>
      <c r="C471" s="21" t="s">
        <v>977</v>
      </c>
      <c r="D471" s="21">
        <v>13</v>
      </c>
      <c r="E471" s="23">
        <v>13334</v>
      </c>
      <c r="G471" s="21" t="s">
        <v>282</v>
      </c>
    </row>
    <row r="472" spans="1:7" ht="14.4" hidden="1">
      <c r="A472" s="21"/>
      <c r="B472" s="22">
        <v>368</v>
      </c>
      <c r="C472" s="21" t="s">
        <v>978</v>
      </c>
      <c r="D472" s="21">
        <v>13</v>
      </c>
      <c r="E472" s="23">
        <v>13333</v>
      </c>
      <c r="G472" s="21" t="s">
        <v>282</v>
      </c>
    </row>
    <row r="473" spans="1:7" ht="14.4" hidden="1">
      <c r="A473" s="21"/>
      <c r="B473" s="21" t="s">
        <v>298</v>
      </c>
      <c r="C473" s="21" t="s">
        <v>979</v>
      </c>
      <c r="D473" s="21">
        <v>13</v>
      </c>
      <c r="E473" s="23">
        <v>13333</v>
      </c>
      <c r="G473" s="21" t="s">
        <v>274</v>
      </c>
    </row>
    <row r="474" spans="1:7" ht="14.4" hidden="1">
      <c r="A474" s="21"/>
      <c r="B474" s="21" t="s">
        <v>278</v>
      </c>
      <c r="C474" s="21" t="s">
        <v>980</v>
      </c>
      <c r="D474" s="21">
        <v>13</v>
      </c>
      <c r="E474" s="23">
        <v>13333</v>
      </c>
      <c r="G474" s="21" t="s">
        <v>752</v>
      </c>
    </row>
    <row r="475" spans="1:7" ht="14.4" hidden="1">
      <c r="A475" s="21"/>
      <c r="B475" s="22">
        <v>369</v>
      </c>
      <c r="C475" s="21" t="s">
        <v>981</v>
      </c>
      <c r="D475" s="21">
        <v>13</v>
      </c>
      <c r="E475" s="23">
        <v>13330</v>
      </c>
      <c r="G475" s="21" t="s">
        <v>310</v>
      </c>
    </row>
    <row r="476" spans="1:7" ht="14.4" hidden="1">
      <c r="A476" s="21"/>
      <c r="B476" s="22">
        <v>370</v>
      </c>
      <c r="C476" s="21" t="s">
        <v>982</v>
      </c>
      <c r="D476" s="21">
        <v>13</v>
      </c>
      <c r="E476" s="23">
        <v>13328</v>
      </c>
      <c r="G476" s="21" t="s">
        <v>310</v>
      </c>
    </row>
    <row r="477" spans="1:7" ht="14.4" hidden="1">
      <c r="A477" s="21"/>
      <c r="B477" s="22">
        <v>371</v>
      </c>
      <c r="C477" s="21" t="s">
        <v>983</v>
      </c>
      <c r="D477" s="21">
        <v>13</v>
      </c>
      <c r="E477" s="23">
        <v>13327</v>
      </c>
      <c r="G477" s="21" t="s">
        <v>287</v>
      </c>
    </row>
    <row r="478" spans="1:7" ht="14.4" hidden="1">
      <c r="A478" s="21"/>
      <c r="B478" s="22">
        <v>372</v>
      </c>
      <c r="C478" s="21" t="s">
        <v>984</v>
      </c>
      <c r="D478" s="21">
        <v>13</v>
      </c>
      <c r="E478" s="23">
        <v>13326</v>
      </c>
      <c r="G478" s="21" t="s">
        <v>300</v>
      </c>
    </row>
    <row r="479" spans="1:7" ht="14.4" hidden="1">
      <c r="A479" s="21"/>
      <c r="B479" s="21" t="s">
        <v>298</v>
      </c>
      <c r="C479" s="21" t="s">
        <v>985</v>
      </c>
      <c r="D479" s="21">
        <v>13</v>
      </c>
      <c r="E479" s="23">
        <v>13326</v>
      </c>
      <c r="G479" s="21" t="s">
        <v>287</v>
      </c>
    </row>
    <row r="480" spans="1:7" ht="14.4" hidden="1">
      <c r="A480" s="21"/>
      <c r="B480" s="22">
        <v>373</v>
      </c>
      <c r="C480" s="21" t="s">
        <v>986</v>
      </c>
      <c r="D480" s="21">
        <v>13</v>
      </c>
      <c r="E480" s="23">
        <v>13325</v>
      </c>
      <c r="G480" s="21" t="s">
        <v>310</v>
      </c>
    </row>
    <row r="481" spans="1:7" ht="14.4" hidden="1">
      <c r="A481" s="21"/>
      <c r="B481" s="22">
        <v>374</v>
      </c>
      <c r="C481" s="21" t="s">
        <v>987</v>
      </c>
      <c r="D481" s="21">
        <v>13</v>
      </c>
      <c r="E481" s="23">
        <v>13322</v>
      </c>
      <c r="G481" s="21" t="s">
        <v>274</v>
      </c>
    </row>
    <row r="482" spans="1:7" ht="14.4" hidden="1">
      <c r="A482" s="21"/>
      <c r="B482" s="21" t="s">
        <v>298</v>
      </c>
      <c r="C482" s="21" t="s">
        <v>988</v>
      </c>
      <c r="D482" s="21">
        <v>13</v>
      </c>
      <c r="E482" s="23">
        <v>13322</v>
      </c>
      <c r="G482" s="21" t="s">
        <v>337</v>
      </c>
    </row>
    <row r="483" spans="1:7" ht="14.4" hidden="1">
      <c r="A483" s="21"/>
      <c r="B483" s="22">
        <v>375</v>
      </c>
      <c r="C483" s="21" t="s">
        <v>989</v>
      </c>
      <c r="D483" s="21">
        <v>13</v>
      </c>
      <c r="E483" s="23">
        <v>13321</v>
      </c>
      <c r="G483" s="21" t="s">
        <v>310</v>
      </c>
    </row>
    <row r="484" spans="1:7" ht="14.4" hidden="1">
      <c r="A484" s="21"/>
      <c r="B484" s="22">
        <v>376</v>
      </c>
      <c r="C484" s="21" t="s">
        <v>990</v>
      </c>
      <c r="D484" s="21">
        <v>13</v>
      </c>
      <c r="E484" s="23">
        <v>13321</v>
      </c>
      <c r="G484" s="21" t="s">
        <v>310</v>
      </c>
    </row>
    <row r="485" spans="1:7" ht="14.4" hidden="1">
      <c r="A485" s="21"/>
      <c r="B485" s="21" t="s">
        <v>298</v>
      </c>
      <c r="C485" s="21" t="s">
        <v>991</v>
      </c>
      <c r="D485" s="21">
        <v>13</v>
      </c>
      <c r="E485" s="23">
        <v>13319</v>
      </c>
      <c r="G485" s="21" t="s">
        <v>310</v>
      </c>
    </row>
    <row r="486" spans="1:7" ht="14.4" hidden="1">
      <c r="A486" s="21"/>
      <c r="B486" s="22">
        <v>377</v>
      </c>
      <c r="C486" s="21" t="s">
        <v>992</v>
      </c>
      <c r="D486" s="21">
        <v>13</v>
      </c>
      <c r="E486" s="23">
        <v>13317</v>
      </c>
      <c r="G486" s="21" t="s">
        <v>274</v>
      </c>
    </row>
    <row r="487" spans="1:7" ht="14.4" hidden="1">
      <c r="A487" s="21"/>
      <c r="B487" s="22">
        <v>378</v>
      </c>
      <c r="C487" s="21" t="s">
        <v>993</v>
      </c>
      <c r="D487" s="21">
        <v>13</v>
      </c>
      <c r="E487" s="23">
        <v>13315</v>
      </c>
      <c r="G487" s="21" t="s">
        <v>310</v>
      </c>
    </row>
    <row r="488" spans="1:7" ht="14.4" hidden="1">
      <c r="A488" s="21"/>
      <c r="B488" s="22">
        <v>379</v>
      </c>
      <c r="C488" s="21" t="s">
        <v>994</v>
      </c>
      <c r="D488" s="21">
        <v>13</v>
      </c>
      <c r="E488" s="23">
        <v>13313</v>
      </c>
      <c r="G488" s="21" t="s">
        <v>310</v>
      </c>
    </row>
    <row r="489" spans="1:7" ht="14.4" hidden="1">
      <c r="A489" s="21"/>
      <c r="B489" s="22">
        <v>380</v>
      </c>
      <c r="C489" s="21" t="s">
        <v>995</v>
      </c>
      <c r="D489" s="21">
        <v>13</v>
      </c>
      <c r="E489" s="23">
        <v>13312</v>
      </c>
      <c r="G489" s="21" t="s">
        <v>274</v>
      </c>
    </row>
    <row r="490" spans="1:7" ht="14.4" hidden="1">
      <c r="A490" s="21"/>
      <c r="B490" s="22">
        <v>381</v>
      </c>
      <c r="C490" s="21" t="s">
        <v>996</v>
      </c>
      <c r="D490" s="21">
        <v>13</v>
      </c>
      <c r="E490" s="23">
        <v>13312</v>
      </c>
      <c r="G490" s="21" t="s">
        <v>274</v>
      </c>
    </row>
    <row r="491" spans="1:7" ht="14.4" hidden="1">
      <c r="A491" s="21"/>
      <c r="B491" s="22">
        <v>382</v>
      </c>
      <c r="C491" s="21" t="s">
        <v>997</v>
      </c>
      <c r="D491" s="21">
        <v>13</v>
      </c>
      <c r="E491" s="23">
        <v>13312</v>
      </c>
      <c r="G491" s="21" t="s">
        <v>310</v>
      </c>
    </row>
    <row r="492" spans="1:7" ht="14.4" hidden="1">
      <c r="A492" s="21"/>
      <c r="B492" s="22">
        <v>383</v>
      </c>
      <c r="C492" s="21" t="s">
        <v>998</v>
      </c>
      <c r="D492" s="21">
        <v>13</v>
      </c>
      <c r="E492" s="23">
        <v>13312</v>
      </c>
      <c r="G492" s="21" t="s">
        <v>337</v>
      </c>
    </row>
    <row r="493" spans="1:7" ht="14.4" hidden="1">
      <c r="A493" s="21"/>
      <c r="B493" s="22">
        <v>384</v>
      </c>
      <c r="C493" s="21" t="s">
        <v>999</v>
      </c>
      <c r="D493" s="21">
        <v>13</v>
      </c>
      <c r="E493" s="23">
        <v>13310</v>
      </c>
      <c r="G493" s="21" t="s">
        <v>287</v>
      </c>
    </row>
    <row r="494" spans="1:7" ht="14.4" hidden="1">
      <c r="A494" s="21"/>
      <c r="B494" s="22">
        <v>385</v>
      </c>
      <c r="C494" s="21" t="s">
        <v>1000</v>
      </c>
      <c r="D494" s="21">
        <v>13</v>
      </c>
      <c r="E494" s="23">
        <v>13310</v>
      </c>
      <c r="G494" s="21" t="s">
        <v>310</v>
      </c>
    </row>
    <row r="495" spans="1:7" ht="14.4" hidden="1">
      <c r="A495" s="21"/>
      <c r="B495" s="22">
        <v>386</v>
      </c>
      <c r="C495" s="21" t="s">
        <v>1001</v>
      </c>
      <c r="D495" s="21">
        <v>13</v>
      </c>
      <c r="E495" s="23">
        <v>13310</v>
      </c>
      <c r="G495" s="21" t="s">
        <v>310</v>
      </c>
    </row>
    <row r="496" spans="1:7" ht="14.4" hidden="1">
      <c r="A496" s="21"/>
      <c r="B496" s="21" t="s">
        <v>298</v>
      </c>
      <c r="C496" s="21" t="s">
        <v>1002</v>
      </c>
      <c r="D496" s="21">
        <v>13</v>
      </c>
      <c r="E496" s="23">
        <v>13310</v>
      </c>
      <c r="G496" s="21" t="s">
        <v>310</v>
      </c>
    </row>
    <row r="497" spans="1:7" ht="14.4" hidden="1">
      <c r="A497" s="21"/>
      <c r="B497" s="22">
        <v>387</v>
      </c>
      <c r="C497" s="21" t="s">
        <v>1003</v>
      </c>
      <c r="D497" s="21">
        <v>13</v>
      </c>
      <c r="E497" s="23">
        <v>13309</v>
      </c>
      <c r="G497" s="21" t="s">
        <v>310</v>
      </c>
    </row>
    <row r="498" spans="1:7" ht="14.4" hidden="1">
      <c r="A498" s="21"/>
      <c r="B498" s="21" t="s">
        <v>298</v>
      </c>
      <c r="C498" s="21" t="s">
        <v>1004</v>
      </c>
      <c r="D498" s="21">
        <v>13</v>
      </c>
      <c r="E498" s="23">
        <v>13309</v>
      </c>
      <c r="G498" s="21" t="s">
        <v>310</v>
      </c>
    </row>
    <row r="499" spans="1:7" ht="14.4" hidden="1">
      <c r="A499" s="21"/>
      <c r="B499" s="22">
        <v>388</v>
      </c>
      <c r="C499" s="21" t="s">
        <v>1005</v>
      </c>
      <c r="D499" s="21">
        <v>13</v>
      </c>
      <c r="E499" s="23">
        <v>13308</v>
      </c>
      <c r="G499" s="21" t="s">
        <v>310</v>
      </c>
    </row>
    <row r="500" spans="1:7" ht="14.4" hidden="1">
      <c r="A500" s="21"/>
      <c r="B500" s="22">
        <v>389</v>
      </c>
      <c r="C500" s="21" t="s">
        <v>1006</v>
      </c>
      <c r="D500" s="21">
        <v>13</v>
      </c>
      <c r="E500" s="23">
        <v>13307</v>
      </c>
      <c r="G500" s="21" t="s">
        <v>287</v>
      </c>
    </row>
    <row r="501" spans="1:7" ht="14.4" hidden="1">
      <c r="A501" s="21"/>
      <c r="B501" s="22">
        <v>390</v>
      </c>
      <c r="C501" s="21" t="s">
        <v>1007</v>
      </c>
      <c r="D501" s="21">
        <v>13</v>
      </c>
      <c r="E501" s="23">
        <v>13302</v>
      </c>
      <c r="G501" s="21" t="s">
        <v>310</v>
      </c>
    </row>
    <row r="502" spans="1:7" ht="14.4" hidden="1">
      <c r="A502" s="21"/>
      <c r="B502" s="22">
        <v>391</v>
      </c>
      <c r="C502" s="21" t="s">
        <v>1008</v>
      </c>
      <c r="D502" s="21">
        <v>13</v>
      </c>
      <c r="E502" s="23">
        <v>13301</v>
      </c>
      <c r="G502" s="21" t="s">
        <v>274</v>
      </c>
    </row>
    <row r="503" spans="1:7" ht="14.4" hidden="1">
      <c r="A503" s="21"/>
      <c r="B503" s="22">
        <v>392</v>
      </c>
      <c r="C503" s="21" t="s">
        <v>1009</v>
      </c>
      <c r="D503" s="21">
        <v>13</v>
      </c>
      <c r="E503" s="23">
        <v>13300</v>
      </c>
      <c r="G503" s="21" t="s">
        <v>310</v>
      </c>
    </row>
    <row r="504" spans="1:7" ht="14.4" hidden="1">
      <c r="A504" s="21"/>
      <c r="B504" s="22">
        <v>393</v>
      </c>
      <c r="C504" s="21" t="s">
        <v>1010</v>
      </c>
      <c r="D504" s="21">
        <v>13</v>
      </c>
      <c r="E504" s="23">
        <v>13300</v>
      </c>
      <c r="G504" s="21" t="s">
        <v>310</v>
      </c>
    </row>
    <row r="505" spans="1:7" ht="14.4" hidden="1">
      <c r="A505" s="21"/>
      <c r="B505" s="22">
        <v>394</v>
      </c>
      <c r="C505" s="21" t="s">
        <v>1011</v>
      </c>
      <c r="D505" s="21">
        <v>13</v>
      </c>
      <c r="E505" s="23">
        <v>13300</v>
      </c>
      <c r="G505" s="21" t="s">
        <v>337</v>
      </c>
    </row>
    <row r="506" spans="1:7" ht="14.4" hidden="1">
      <c r="A506" s="21"/>
      <c r="B506" s="22">
        <v>395</v>
      </c>
      <c r="C506" s="21" t="s">
        <v>1012</v>
      </c>
      <c r="D506" s="21">
        <v>13</v>
      </c>
      <c r="E506" s="23">
        <v>13300</v>
      </c>
      <c r="G506" s="21" t="s">
        <v>310</v>
      </c>
    </row>
    <row r="507" spans="1:7" ht="14.4" hidden="1">
      <c r="A507" s="21"/>
      <c r="B507" s="22">
        <v>396</v>
      </c>
      <c r="C507" s="21" t="s">
        <v>1012</v>
      </c>
      <c r="D507" s="21">
        <v>13</v>
      </c>
      <c r="E507" s="23">
        <v>13300</v>
      </c>
      <c r="G507" s="21" t="s">
        <v>274</v>
      </c>
    </row>
    <row r="508" spans="1:7" ht="14.4" hidden="1">
      <c r="A508" s="21"/>
      <c r="B508" s="22">
        <v>397</v>
      </c>
      <c r="C508" s="21" t="s">
        <v>1013</v>
      </c>
      <c r="D508" s="21">
        <v>13</v>
      </c>
      <c r="E508" s="23">
        <v>13300</v>
      </c>
      <c r="G508" s="21" t="s">
        <v>310</v>
      </c>
    </row>
    <row r="509" spans="1:7" ht="14.4" hidden="1">
      <c r="A509" s="21"/>
      <c r="B509" s="22">
        <v>398</v>
      </c>
      <c r="C509" s="21" t="s">
        <v>1014</v>
      </c>
      <c r="D509" s="21">
        <v>13</v>
      </c>
      <c r="E509" s="23">
        <v>13300</v>
      </c>
      <c r="G509" s="21" t="s">
        <v>274</v>
      </c>
    </row>
    <row r="510" spans="1:7" ht="14.4" hidden="1">
      <c r="A510" s="21"/>
      <c r="B510" s="22">
        <v>399</v>
      </c>
      <c r="C510" s="21" t="s">
        <v>1015</v>
      </c>
      <c r="D510" s="21">
        <v>13</v>
      </c>
      <c r="E510" s="23">
        <v>13300</v>
      </c>
      <c r="G510" s="21" t="s">
        <v>300</v>
      </c>
    </row>
    <row r="511" spans="1:7" ht="14.4" hidden="1">
      <c r="A511" s="21"/>
      <c r="B511" s="22">
        <v>400</v>
      </c>
      <c r="C511" s="21" t="s">
        <v>1016</v>
      </c>
      <c r="D511" s="21">
        <v>13</v>
      </c>
      <c r="E511" s="23">
        <v>13300</v>
      </c>
      <c r="G511" s="21" t="s">
        <v>310</v>
      </c>
    </row>
    <row r="512" spans="1:7" ht="14.4" hidden="1">
      <c r="A512" s="21"/>
      <c r="B512" s="22">
        <v>401</v>
      </c>
      <c r="C512" s="21" t="s">
        <v>1017</v>
      </c>
      <c r="D512" s="21">
        <v>13</v>
      </c>
      <c r="E512" s="23">
        <v>13300</v>
      </c>
      <c r="G512" s="21" t="s">
        <v>310</v>
      </c>
    </row>
    <row r="513" spans="1:7" ht="14.4" hidden="1">
      <c r="A513" s="21"/>
      <c r="B513" s="22">
        <v>403</v>
      </c>
      <c r="C513" s="21" t="s">
        <v>1012</v>
      </c>
      <c r="D513" s="21">
        <v>13</v>
      </c>
      <c r="E513" s="23">
        <v>13300</v>
      </c>
      <c r="G513" s="21" t="s">
        <v>310</v>
      </c>
    </row>
    <row r="514" spans="1:7" ht="14.4" hidden="1">
      <c r="A514" s="21"/>
      <c r="B514" s="22">
        <v>402</v>
      </c>
      <c r="C514" s="21" t="s">
        <v>1018</v>
      </c>
      <c r="D514" s="21">
        <v>13</v>
      </c>
      <c r="E514" s="23">
        <v>13300</v>
      </c>
      <c r="G514" s="21" t="s">
        <v>310</v>
      </c>
    </row>
    <row r="515" spans="1:7" ht="14.4" hidden="1">
      <c r="A515" s="21"/>
      <c r="B515" s="21" t="s">
        <v>298</v>
      </c>
      <c r="C515" s="21" t="s">
        <v>1012</v>
      </c>
      <c r="D515" s="21">
        <v>13</v>
      </c>
      <c r="E515" s="23">
        <v>13300</v>
      </c>
      <c r="G515" s="21" t="s">
        <v>274</v>
      </c>
    </row>
    <row r="516" spans="1:7" ht="14.4" hidden="1">
      <c r="A516" s="21"/>
      <c r="B516" s="21" t="s">
        <v>298</v>
      </c>
      <c r="C516" s="21" t="s">
        <v>1012</v>
      </c>
      <c r="D516" s="21">
        <v>13</v>
      </c>
      <c r="E516" s="23">
        <v>13300</v>
      </c>
      <c r="G516" s="21" t="s">
        <v>310</v>
      </c>
    </row>
    <row r="517" spans="1:7" ht="14.4" hidden="1">
      <c r="A517" s="21"/>
      <c r="B517" s="21" t="s">
        <v>278</v>
      </c>
      <c r="C517" s="21" t="s">
        <v>1019</v>
      </c>
      <c r="D517" s="21">
        <v>13</v>
      </c>
      <c r="E517" s="23">
        <v>13300</v>
      </c>
      <c r="G517" s="21" t="s">
        <v>274</v>
      </c>
    </row>
    <row r="518" spans="1:7" ht="14.4" hidden="1">
      <c r="A518" s="21"/>
      <c r="B518" s="22">
        <v>404</v>
      </c>
      <c r="C518" s="21" t="s">
        <v>1020</v>
      </c>
      <c r="D518" s="21">
        <v>13</v>
      </c>
      <c r="E518" s="23">
        <v>13295</v>
      </c>
      <c r="G518" s="21" t="s">
        <v>274</v>
      </c>
    </row>
    <row r="519" spans="1:7" ht="14.4" hidden="1">
      <c r="A519" s="25">
        <v>43260</v>
      </c>
      <c r="B519" s="22">
        <v>405</v>
      </c>
      <c r="C519" s="21" t="s">
        <v>1021</v>
      </c>
      <c r="D519" s="21">
        <v>13</v>
      </c>
      <c r="E519" s="23">
        <v>13294</v>
      </c>
      <c r="G519" s="21" t="s">
        <v>287</v>
      </c>
    </row>
    <row r="520" spans="1:7" ht="14.4" hidden="1">
      <c r="A520" s="21"/>
      <c r="B520" s="22">
        <v>406</v>
      </c>
      <c r="C520" s="21" t="s">
        <v>1022</v>
      </c>
      <c r="D520" s="21">
        <v>13</v>
      </c>
      <c r="E520" s="23">
        <v>13294</v>
      </c>
      <c r="G520" s="21" t="s">
        <v>287</v>
      </c>
    </row>
    <row r="521" spans="1:7" ht="14.4" hidden="1">
      <c r="A521" s="21"/>
      <c r="B521" s="22">
        <v>407</v>
      </c>
      <c r="C521" s="21" t="s">
        <v>1023</v>
      </c>
      <c r="D521" s="21">
        <v>13</v>
      </c>
      <c r="E521" s="23">
        <v>13292</v>
      </c>
      <c r="G521" s="21" t="s">
        <v>310</v>
      </c>
    </row>
    <row r="522" spans="1:7" ht="14.4" hidden="1">
      <c r="A522" s="21"/>
      <c r="B522" s="22">
        <v>408</v>
      </c>
      <c r="C522" s="21" t="s">
        <v>1024</v>
      </c>
      <c r="D522" s="21">
        <v>13</v>
      </c>
      <c r="E522" s="23">
        <v>13292</v>
      </c>
      <c r="G522" s="21" t="s">
        <v>310</v>
      </c>
    </row>
    <row r="523" spans="1:7" ht="14.4" hidden="1">
      <c r="A523" s="21"/>
      <c r="B523" s="21" t="s">
        <v>298</v>
      </c>
      <c r="C523" s="21" t="s">
        <v>1025</v>
      </c>
      <c r="D523" s="21">
        <v>13</v>
      </c>
      <c r="E523" s="23">
        <v>13292</v>
      </c>
      <c r="G523" s="21" t="s">
        <v>274</v>
      </c>
    </row>
    <row r="524" spans="1:7" ht="14.4" hidden="1">
      <c r="A524" s="21"/>
      <c r="B524" s="22">
        <v>409</v>
      </c>
      <c r="C524" s="21" t="s">
        <v>1026</v>
      </c>
      <c r="D524" s="21">
        <v>13</v>
      </c>
      <c r="E524" s="23">
        <v>13290</v>
      </c>
      <c r="G524" s="21" t="s">
        <v>310</v>
      </c>
    </row>
    <row r="525" spans="1:7" ht="14.4" hidden="1">
      <c r="A525" s="21"/>
      <c r="B525" s="22">
        <v>410</v>
      </c>
      <c r="C525" s="21" t="s">
        <v>1027</v>
      </c>
      <c r="D525" s="21">
        <v>13</v>
      </c>
      <c r="E525" s="23">
        <v>13286</v>
      </c>
      <c r="G525" s="21" t="s">
        <v>310</v>
      </c>
    </row>
    <row r="526" spans="1:7" ht="14.4" hidden="1">
      <c r="A526" s="21"/>
      <c r="B526" s="22">
        <v>411</v>
      </c>
      <c r="C526" s="21" t="s">
        <v>1028</v>
      </c>
      <c r="D526" s="21">
        <v>13</v>
      </c>
      <c r="E526" s="23">
        <v>13284</v>
      </c>
      <c r="G526" s="21" t="s">
        <v>274</v>
      </c>
    </row>
    <row r="527" spans="1:7" ht="14.4" hidden="1">
      <c r="A527" s="21"/>
      <c r="B527" s="22">
        <v>412</v>
      </c>
      <c r="C527" s="21" t="s">
        <v>1029</v>
      </c>
      <c r="D527" s="21">
        <v>13</v>
      </c>
      <c r="E527" s="23">
        <v>13283</v>
      </c>
      <c r="G527" s="21" t="s">
        <v>310</v>
      </c>
    </row>
    <row r="528" spans="1:7" ht="14.4" hidden="1">
      <c r="A528" s="21"/>
      <c r="B528" s="22">
        <v>413</v>
      </c>
      <c r="C528" s="21" t="s">
        <v>1030</v>
      </c>
      <c r="D528" s="21">
        <v>13</v>
      </c>
      <c r="E528" s="23">
        <v>13282</v>
      </c>
      <c r="G528" s="21" t="s">
        <v>274</v>
      </c>
    </row>
    <row r="529" spans="1:7" ht="14.4" hidden="1">
      <c r="A529" s="21"/>
      <c r="B529" s="22">
        <v>414</v>
      </c>
      <c r="C529" s="21" t="s">
        <v>1031</v>
      </c>
      <c r="D529" s="21">
        <v>13</v>
      </c>
      <c r="E529" s="23">
        <v>13282</v>
      </c>
      <c r="G529" s="21" t="s">
        <v>274</v>
      </c>
    </row>
    <row r="530" spans="1:7" ht="14.4" hidden="1">
      <c r="A530" s="21"/>
      <c r="B530" s="22">
        <v>415</v>
      </c>
      <c r="C530" s="21" t="s">
        <v>1032</v>
      </c>
      <c r="D530" s="21">
        <v>13</v>
      </c>
      <c r="E530" s="23">
        <v>13281</v>
      </c>
      <c r="G530" s="21" t="s">
        <v>274</v>
      </c>
    </row>
    <row r="531" spans="1:7" ht="14.4" hidden="1">
      <c r="A531" s="21"/>
      <c r="B531" s="22">
        <v>416</v>
      </c>
      <c r="C531" s="21" t="s">
        <v>1033</v>
      </c>
      <c r="D531" s="21">
        <v>13</v>
      </c>
      <c r="E531" s="23">
        <v>13281</v>
      </c>
      <c r="G531" s="21" t="s">
        <v>287</v>
      </c>
    </row>
    <row r="532" spans="1:7" ht="14.4" hidden="1">
      <c r="A532" s="21"/>
      <c r="B532" s="22">
        <v>417</v>
      </c>
      <c r="C532" s="21" t="s">
        <v>1034</v>
      </c>
      <c r="D532" s="21">
        <v>13</v>
      </c>
      <c r="E532" s="23">
        <v>13278</v>
      </c>
      <c r="G532" s="21" t="s">
        <v>310</v>
      </c>
    </row>
    <row r="533" spans="1:7" ht="14.4" hidden="1">
      <c r="A533" s="21"/>
      <c r="B533" s="22">
        <v>418</v>
      </c>
      <c r="C533" s="21" t="s">
        <v>1035</v>
      </c>
      <c r="D533" s="21">
        <v>13</v>
      </c>
      <c r="E533" s="23">
        <v>13277</v>
      </c>
      <c r="G533" s="21" t="s">
        <v>282</v>
      </c>
    </row>
    <row r="534" spans="1:7" ht="14.4" hidden="1">
      <c r="A534" s="21"/>
      <c r="B534" s="22">
        <v>419</v>
      </c>
      <c r="C534" s="21" t="s">
        <v>1036</v>
      </c>
      <c r="D534" s="21">
        <v>13</v>
      </c>
      <c r="E534" s="23">
        <v>13277</v>
      </c>
      <c r="G534" s="21" t="s">
        <v>287</v>
      </c>
    </row>
    <row r="535" spans="1:7" ht="14.4" hidden="1">
      <c r="A535" s="21"/>
      <c r="B535" s="22">
        <v>420</v>
      </c>
      <c r="C535" s="21" t="s">
        <v>1037</v>
      </c>
      <c r="D535" s="21">
        <v>13</v>
      </c>
      <c r="E535" s="23">
        <v>13276</v>
      </c>
      <c r="G535" s="21" t="s">
        <v>287</v>
      </c>
    </row>
    <row r="536" spans="1:7" ht="14.4" hidden="1">
      <c r="A536" s="21"/>
      <c r="B536" s="22">
        <v>421</v>
      </c>
      <c r="C536" s="21" t="s">
        <v>1038</v>
      </c>
      <c r="D536" s="21">
        <v>13</v>
      </c>
      <c r="E536" s="23">
        <v>13276</v>
      </c>
      <c r="G536" s="21" t="s">
        <v>274</v>
      </c>
    </row>
    <row r="537" spans="1:7" ht="14.4" hidden="1">
      <c r="A537" s="21"/>
      <c r="B537" s="21" t="s">
        <v>298</v>
      </c>
      <c r="C537" s="21" t="s">
        <v>1039</v>
      </c>
      <c r="D537" s="21">
        <v>13</v>
      </c>
      <c r="E537" s="23">
        <v>13275</v>
      </c>
      <c r="G537" s="21" t="s">
        <v>310</v>
      </c>
    </row>
    <row r="538" spans="1:7" ht="14.4" hidden="1">
      <c r="A538" s="21"/>
      <c r="B538" s="22">
        <v>422</v>
      </c>
      <c r="C538" s="21" t="s">
        <v>1040</v>
      </c>
      <c r="D538" s="21">
        <v>13</v>
      </c>
      <c r="E538" s="23">
        <v>13274</v>
      </c>
      <c r="G538" s="21" t="s">
        <v>310</v>
      </c>
    </row>
    <row r="539" spans="1:7" ht="14.4" hidden="1">
      <c r="A539" s="21"/>
      <c r="B539" s="22">
        <v>423</v>
      </c>
      <c r="C539" s="21" t="s">
        <v>1041</v>
      </c>
      <c r="D539" s="21">
        <v>13</v>
      </c>
      <c r="E539" s="23">
        <v>13270</v>
      </c>
      <c r="G539" s="21" t="s">
        <v>282</v>
      </c>
    </row>
    <row r="540" spans="1:7" ht="14.4" hidden="1">
      <c r="A540" s="21"/>
      <c r="B540" s="21" t="s">
        <v>298</v>
      </c>
      <c r="C540" s="21" t="s">
        <v>1042</v>
      </c>
      <c r="D540" s="21">
        <v>13</v>
      </c>
      <c r="E540" s="23">
        <v>13270</v>
      </c>
      <c r="G540" s="21" t="s">
        <v>274</v>
      </c>
    </row>
    <row r="541" spans="1:7" ht="14.4" hidden="1">
      <c r="A541" s="21"/>
      <c r="B541" s="21" t="s">
        <v>298</v>
      </c>
      <c r="C541" s="21" t="s">
        <v>1043</v>
      </c>
      <c r="D541" s="21">
        <v>13</v>
      </c>
      <c r="E541" s="23">
        <v>13270</v>
      </c>
      <c r="G541" s="21" t="s">
        <v>274</v>
      </c>
    </row>
    <row r="542" spans="1:7" ht="14.4" hidden="1">
      <c r="A542" s="21"/>
      <c r="B542" s="22">
        <v>424</v>
      </c>
      <c r="C542" s="21" t="s">
        <v>1044</v>
      </c>
      <c r="D542" s="21">
        <v>13</v>
      </c>
      <c r="E542" s="23">
        <v>13269</v>
      </c>
      <c r="G542" s="21" t="s">
        <v>274</v>
      </c>
    </row>
    <row r="543" spans="1:7" ht="14.4" hidden="1">
      <c r="A543" s="21"/>
      <c r="B543" s="22">
        <v>425</v>
      </c>
      <c r="C543" s="21" t="s">
        <v>1045</v>
      </c>
      <c r="D543" s="21">
        <v>13</v>
      </c>
      <c r="E543" s="23">
        <v>13266</v>
      </c>
      <c r="G543" s="21" t="s">
        <v>310</v>
      </c>
    </row>
    <row r="544" spans="1:7" ht="14.4" hidden="1">
      <c r="A544" s="21"/>
      <c r="B544" s="22">
        <v>426</v>
      </c>
      <c r="C544" s="21" t="s">
        <v>1046</v>
      </c>
      <c r="D544" s="21">
        <v>13</v>
      </c>
      <c r="E544" s="23">
        <v>13266</v>
      </c>
      <c r="G544" s="21" t="s">
        <v>287</v>
      </c>
    </row>
    <row r="545" spans="1:7" ht="14.4" hidden="1">
      <c r="A545" s="21"/>
      <c r="B545" s="22">
        <v>427</v>
      </c>
      <c r="C545" s="21" t="s">
        <v>1047</v>
      </c>
      <c r="D545" s="21">
        <v>13</v>
      </c>
      <c r="E545" s="23">
        <v>13266</v>
      </c>
      <c r="G545" s="21" t="s">
        <v>282</v>
      </c>
    </row>
    <row r="546" spans="1:7" ht="14.4" hidden="1">
      <c r="A546" s="21"/>
      <c r="B546" s="22">
        <v>428</v>
      </c>
      <c r="C546" s="21" t="s">
        <v>1048</v>
      </c>
      <c r="D546" s="21">
        <v>13</v>
      </c>
      <c r="E546" s="23">
        <v>13265</v>
      </c>
      <c r="G546" s="21" t="s">
        <v>310</v>
      </c>
    </row>
    <row r="547" spans="1:7" ht="14.4" hidden="1">
      <c r="A547" s="21"/>
      <c r="B547" s="22">
        <v>429</v>
      </c>
      <c r="C547" s="21" t="s">
        <v>1049</v>
      </c>
      <c r="D547" s="21">
        <v>13</v>
      </c>
      <c r="E547" s="23">
        <v>13262</v>
      </c>
      <c r="G547" s="21" t="s">
        <v>310</v>
      </c>
    </row>
    <row r="548" spans="1:7" ht="14.4" hidden="1">
      <c r="A548" s="21"/>
      <c r="B548" s="22">
        <v>430</v>
      </c>
      <c r="C548" s="21" t="s">
        <v>1050</v>
      </c>
      <c r="D548" s="21">
        <v>13</v>
      </c>
      <c r="E548" s="23">
        <v>13261</v>
      </c>
      <c r="G548" s="21" t="s">
        <v>310</v>
      </c>
    </row>
    <row r="549" spans="1:7" ht="14.4" hidden="1">
      <c r="A549" s="21"/>
      <c r="B549" s="22">
        <v>431</v>
      </c>
      <c r="C549" s="21" t="s">
        <v>1051</v>
      </c>
      <c r="D549" s="21">
        <v>13</v>
      </c>
      <c r="E549" s="23">
        <v>13260</v>
      </c>
      <c r="G549" s="21" t="s">
        <v>752</v>
      </c>
    </row>
    <row r="550" spans="1:7" ht="14.4" hidden="1">
      <c r="A550" s="21"/>
      <c r="B550" s="22">
        <v>432</v>
      </c>
      <c r="C550" s="21" t="s">
        <v>1052</v>
      </c>
      <c r="D550" s="21">
        <v>13</v>
      </c>
      <c r="E550" s="23">
        <v>13260</v>
      </c>
      <c r="G550" s="21" t="s">
        <v>310</v>
      </c>
    </row>
    <row r="551" spans="1:7" ht="14.4" hidden="1">
      <c r="A551" s="21"/>
      <c r="B551" s="22">
        <v>433</v>
      </c>
      <c r="C551" s="21" t="s">
        <v>1053</v>
      </c>
      <c r="D551" s="21">
        <v>13</v>
      </c>
      <c r="E551" s="23">
        <v>13260</v>
      </c>
      <c r="G551" s="21" t="s">
        <v>337</v>
      </c>
    </row>
    <row r="552" spans="1:7" ht="14.4" hidden="1">
      <c r="A552" s="21"/>
      <c r="B552" s="22">
        <v>434</v>
      </c>
      <c r="C552" s="21" t="s">
        <v>1054</v>
      </c>
      <c r="D552" s="21">
        <v>13</v>
      </c>
      <c r="E552" s="23">
        <v>13260</v>
      </c>
      <c r="G552" s="21" t="s">
        <v>310</v>
      </c>
    </row>
    <row r="553" spans="1:7" ht="14.4" hidden="1">
      <c r="A553" s="21"/>
      <c r="B553" s="22">
        <v>435</v>
      </c>
      <c r="C553" s="21" t="s">
        <v>1055</v>
      </c>
      <c r="D553" s="21">
        <v>13</v>
      </c>
      <c r="E553" s="23">
        <v>13260</v>
      </c>
      <c r="G553" s="21" t="s">
        <v>310</v>
      </c>
    </row>
    <row r="554" spans="1:7" ht="14.4" hidden="1">
      <c r="A554" s="21"/>
      <c r="B554" s="21" t="s">
        <v>298</v>
      </c>
      <c r="C554" s="21" t="s">
        <v>1056</v>
      </c>
      <c r="D554" s="21">
        <v>13</v>
      </c>
      <c r="E554" s="23">
        <v>13259</v>
      </c>
      <c r="G554" s="21" t="s">
        <v>310</v>
      </c>
    </row>
    <row r="555" spans="1:7" ht="14.4" hidden="1">
      <c r="A555" s="21"/>
      <c r="B555" s="22">
        <v>436</v>
      </c>
      <c r="C555" s="21" t="s">
        <v>1057</v>
      </c>
      <c r="D555" s="21">
        <v>13</v>
      </c>
      <c r="E555" s="23">
        <v>13256</v>
      </c>
      <c r="G555" s="21" t="s">
        <v>310</v>
      </c>
    </row>
    <row r="556" spans="1:7" ht="14.4" hidden="1">
      <c r="A556" s="21"/>
      <c r="B556" s="22">
        <v>437</v>
      </c>
      <c r="C556" s="21" t="s">
        <v>1058</v>
      </c>
      <c r="D556" s="21">
        <v>13</v>
      </c>
      <c r="E556" s="23">
        <v>13255</v>
      </c>
      <c r="G556" s="21" t="s">
        <v>274</v>
      </c>
    </row>
    <row r="557" spans="1:7" ht="14.4" hidden="1">
      <c r="A557" s="21"/>
      <c r="B557" s="22">
        <v>438</v>
      </c>
      <c r="C557" s="21" t="s">
        <v>1059</v>
      </c>
      <c r="D557" s="21">
        <v>13</v>
      </c>
      <c r="E557" s="23">
        <v>13254</v>
      </c>
      <c r="G557" s="21" t="s">
        <v>274</v>
      </c>
    </row>
    <row r="558" spans="1:7" ht="14.4" hidden="1">
      <c r="A558" s="21"/>
      <c r="B558" s="21" t="s">
        <v>278</v>
      </c>
      <c r="C558" s="21" t="s">
        <v>1060</v>
      </c>
      <c r="D558" s="21">
        <v>13</v>
      </c>
      <c r="E558" s="23">
        <v>13254</v>
      </c>
      <c r="G558" s="21" t="s">
        <v>274</v>
      </c>
    </row>
    <row r="559" spans="1:7" ht="14.4" hidden="1">
      <c r="A559" s="21"/>
      <c r="B559" s="22">
        <v>439</v>
      </c>
      <c r="C559" s="21" t="s">
        <v>1061</v>
      </c>
      <c r="D559" s="21">
        <v>13</v>
      </c>
      <c r="E559" s="23">
        <v>13253</v>
      </c>
      <c r="G559" s="21" t="s">
        <v>274</v>
      </c>
    </row>
    <row r="560" spans="1:7" ht="14.4" hidden="1">
      <c r="A560" s="21"/>
      <c r="B560" s="21" t="s">
        <v>298</v>
      </c>
      <c r="C560" s="21" t="s">
        <v>1062</v>
      </c>
      <c r="D560" s="21">
        <v>13</v>
      </c>
      <c r="E560" s="23">
        <v>13253</v>
      </c>
      <c r="G560" s="21" t="s">
        <v>274</v>
      </c>
    </row>
    <row r="561" spans="1:7" ht="14.4" hidden="1">
      <c r="A561" s="21"/>
      <c r="B561" s="22">
        <v>440</v>
      </c>
      <c r="C561" s="21" t="s">
        <v>1063</v>
      </c>
      <c r="D561" s="21">
        <v>13</v>
      </c>
      <c r="E561" s="23">
        <v>13252</v>
      </c>
      <c r="G561" s="21" t="s">
        <v>310</v>
      </c>
    </row>
    <row r="562" spans="1:7" ht="14.4" hidden="1">
      <c r="A562" s="21"/>
      <c r="B562" s="21" t="s">
        <v>298</v>
      </c>
      <c r="C562" s="21" t="s">
        <v>1064</v>
      </c>
      <c r="D562" s="21">
        <v>13</v>
      </c>
      <c r="E562" s="23">
        <v>13250</v>
      </c>
      <c r="G562" s="21" t="s">
        <v>287</v>
      </c>
    </row>
    <row r="563" spans="1:7" ht="14.4" hidden="1">
      <c r="A563" s="21"/>
      <c r="B563" s="21" t="s">
        <v>278</v>
      </c>
      <c r="C563" s="21" t="s">
        <v>1065</v>
      </c>
      <c r="D563" s="21">
        <v>13</v>
      </c>
      <c r="E563" s="23">
        <v>13250</v>
      </c>
      <c r="G563" s="21" t="s">
        <v>310</v>
      </c>
    </row>
    <row r="564" spans="1:7" ht="14.4" hidden="1">
      <c r="A564" s="21"/>
      <c r="B564" s="22">
        <v>441</v>
      </c>
      <c r="C564" s="21" t="s">
        <v>1066</v>
      </c>
      <c r="D564" s="21">
        <v>13</v>
      </c>
      <c r="E564" s="23">
        <v>13248</v>
      </c>
      <c r="G564" s="21" t="s">
        <v>274</v>
      </c>
    </row>
    <row r="565" spans="1:7" ht="14.4" hidden="1">
      <c r="A565" s="21"/>
      <c r="B565" s="22">
        <v>442</v>
      </c>
      <c r="C565" s="21" t="s">
        <v>1067</v>
      </c>
      <c r="D565" s="21">
        <v>13</v>
      </c>
      <c r="E565" s="23">
        <v>13245</v>
      </c>
      <c r="G565" s="21" t="s">
        <v>752</v>
      </c>
    </row>
    <row r="566" spans="1:7" ht="14.4" hidden="1">
      <c r="A566" s="21"/>
      <c r="B566" s="22">
        <v>443</v>
      </c>
      <c r="C566" s="21" t="s">
        <v>1068</v>
      </c>
      <c r="D566" s="21">
        <v>13</v>
      </c>
      <c r="E566" s="23">
        <v>13244</v>
      </c>
      <c r="G566" s="21" t="s">
        <v>282</v>
      </c>
    </row>
    <row r="567" spans="1:7" ht="14.4" hidden="1">
      <c r="A567" s="21"/>
      <c r="B567" s="22">
        <v>444</v>
      </c>
      <c r="C567" s="21" t="s">
        <v>1069</v>
      </c>
      <c r="D567" s="21">
        <v>13</v>
      </c>
      <c r="E567" s="23">
        <v>13244</v>
      </c>
      <c r="G567" s="21" t="s">
        <v>337</v>
      </c>
    </row>
    <row r="568" spans="1:7" ht="14.4" hidden="1">
      <c r="A568" s="21"/>
      <c r="B568" s="22">
        <v>445</v>
      </c>
      <c r="C568" s="21" t="s">
        <v>1070</v>
      </c>
      <c r="D568" s="21">
        <v>13</v>
      </c>
      <c r="E568" s="23">
        <v>13242</v>
      </c>
      <c r="G568" s="21" t="s">
        <v>310</v>
      </c>
    </row>
    <row r="569" spans="1:7" ht="14.4" hidden="1">
      <c r="A569" s="21"/>
      <c r="B569" s="22">
        <v>446</v>
      </c>
      <c r="C569" s="21" t="s">
        <v>1071</v>
      </c>
      <c r="D569" s="21">
        <v>13</v>
      </c>
      <c r="E569" s="23">
        <v>13241</v>
      </c>
      <c r="G569" s="21" t="s">
        <v>310</v>
      </c>
    </row>
    <row r="570" spans="1:7" ht="14.4" hidden="1">
      <c r="A570" s="21"/>
      <c r="B570" s="21" t="s">
        <v>298</v>
      </c>
      <c r="C570" s="21" t="s">
        <v>1072</v>
      </c>
      <c r="D570" s="21">
        <v>13</v>
      </c>
      <c r="E570" s="23">
        <v>13238</v>
      </c>
      <c r="G570" s="21" t="s">
        <v>287</v>
      </c>
    </row>
    <row r="571" spans="1:7" ht="14.4" hidden="1">
      <c r="A571" s="21"/>
      <c r="B571" s="21" t="s">
        <v>298</v>
      </c>
      <c r="C571" s="21" t="s">
        <v>1073</v>
      </c>
      <c r="D571" s="21">
        <v>13</v>
      </c>
      <c r="E571" s="23">
        <v>13237</v>
      </c>
      <c r="G571" s="21" t="s">
        <v>274</v>
      </c>
    </row>
    <row r="572" spans="1:7" ht="14.4" hidden="1">
      <c r="A572" s="21"/>
      <c r="B572" s="22">
        <v>447</v>
      </c>
      <c r="C572" s="21" t="s">
        <v>1074</v>
      </c>
      <c r="D572" s="21">
        <v>13</v>
      </c>
      <c r="E572" s="23">
        <v>13235</v>
      </c>
      <c r="G572" s="21" t="s">
        <v>274</v>
      </c>
    </row>
    <row r="573" spans="1:7" ht="14.4" hidden="1">
      <c r="A573" s="21" t="s">
        <v>377</v>
      </c>
      <c r="B573" s="22">
        <v>448</v>
      </c>
      <c r="C573" s="21" t="s">
        <v>1075</v>
      </c>
      <c r="D573" s="21">
        <v>13</v>
      </c>
      <c r="E573" s="23">
        <v>13234</v>
      </c>
      <c r="G573" s="21" t="s">
        <v>287</v>
      </c>
    </row>
    <row r="574" spans="1:7" ht="14.4" hidden="1">
      <c r="A574" s="21"/>
      <c r="B574" s="22">
        <v>449</v>
      </c>
      <c r="C574" s="21" t="s">
        <v>1076</v>
      </c>
      <c r="D574" s="21">
        <v>13</v>
      </c>
      <c r="E574" s="23">
        <v>13233</v>
      </c>
      <c r="G574" s="21" t="s">
        <v>274</v>
      </c>
    </row>
    <row r="575" spans="1:7" ht="14.4" hidden="1">
      <c r="A575" s="21"/>
      <c r="B575" s="22">
        <v>450</v>
      </c>
      <c r="C575" s="21" t="s">
        <v>1077</v>
      </c>
      <c r="D575" s="21">
        <v>13</v>
      </c>
      <c r="E575" s="23">
        <v>13233</v>
      </c>
      <c r="G575" s="21" t="s">
        <v>337</v>
      </c>
    </row>
    <row r="576" spans="1:7" ht="14.4" hidden="1">
      <c r="A576" s="21"/>
      <c r="B576" s="22">
        <v>451</v>
      </c>
      <c r="C576" s="21" t="s">
        <v>1078</v>
      </c>
      <c r="D576" s="21">
        <v>13</v>
      </c>
      <c r="E576" s="23">
        <v>13232</v>
      </c>
      <c r="G576" s="21" t="s">
        <v>310</v>
      </c>
    </row>
    <row r="577" spans="1:7" ht="14.4" hidden="1">
      <c r="A577" s="21"/>
      <c r="B577" s="22">
        <v>452</v>
      </c>
      <c r="C577" s="21" t="s">
        <v>1079</v>
      </c>
      <c r="D577" s="21">
        <v>13</v>
      </c>
      <c r="E577" s="23">
        <v>13232</v>
      </c>
      <c r="G577" s="21" t="s">
        <v>337</v>
      </c>
    </row>
    <row r="578" spans="1:7" ht="14.4" hidden="1">
      <c r="A578" s="21"/>
      <c r="B578" s="22">
        <v>453</v>
      </c>
      <c r="C578" s="21" t="s">
        <v>1080</v>
      </c>
      <c r="D578" s="21">
        <v>13</v>
      </c>
      <c r="E578" s="23">
        <v>13232</v>
      </c>
      <c r="G578" s="21" t="s">
        <v>274</v>
      </c>
    </row>
    <row r="579" spans="1:7" ht="14.4" hidden="1">
      <c r="A579" s="21"/>
      <c r="B579" s="22">
        <v>454</v>
      </c>
      <c r="C579" s="21" t="s">
        <v>1081</v>
      </c>
      <c r="D579" s="21">
        <v>13</v>
      </c>
      <c r="E579" s="23">
        <v>13230</v>
      </c>
      <c r="G579" s="21" t="s">
        <v>310</v>
      </c>
    </row>
    <row r="580" spans="1:7" ht="14.4" hidden="1">
      <c r="A580" s="21"/>
      <c r="B580" s="22">
        <v>455</v>
      </c>
      <c r="C580" s="21" t="s">
        <v>1082</v>
      </c>
      <c r="D580" s="21">
        <v>13</v>
      </c>
      <c r="E580" s="23">
        <v>13230</v>
      </c>
      <c r="G580" s="21" t="s">
        <v>752</v>
      </c>
    </row>
    <row r="581" spans="1:7" ht="14.4" hidden="1">
      <c r="A581" s="21"/>
      <c r="B581" s="21" t="s">
        <v>298</v>
      </c>
      <c r="C581" s="21" t="s">
        <v>1083</v>
      </c>
      <c r="D581" s="21">
        <v>13</v>
      </c>
      <c r="E581" s="23">
        <v>13230</v>
      </c>
      <c r="G581" s="21" t="s">
        <v>274</v>
      </c>
    </row>
    <row r="582" spans="1:7" ht="14.4" hidden="1">
      <c r="A582" s="21"/>
      <c r="B582" s="21" t="s">
        <v>278</v>
      </c>
      <c r="C582" s="21" t="s">
        <v>1084</v>
      </c>
      <c r="D582" s="21">
        <v>13</v>
      </c>
      <c r="E582" s="23">
        <v>13230</v>
      </c>
      <c r="G582" s="21" t="s">
        <v>752</v>
      </c>
    </row>
    <row r="583" spans="1:7" ht="14.4" hidden="1">
      <c r="A583" s="21"/>
      <c r="B583" s="22">
        <v>456</v>
      </c>
      <c r="C583" s="21" t="s">
        <v>1085</v>
      </c>
      <c r="D583" s="21">
        <v>13</v>
      </c>
      <c r="E583" s="23">
        <v>13229</v>
      </c>
      <c r="G583" s="21" t="s">
        <v>287</v>
      </c>
    </row>
    <row r="584" spans="1:7" ht="14.4" hidden="1">
      <c r="A584" s="21"/>
      <c r="B584" s="22">
        <v>457</v>
      </c>
      <c r="C584" s="21" t="s">
        <v>1086</v>
      </c>
      <c r="D584" s="21">
        <v>13</v>
      </c>
      <c r="E584" s="23">
        <v>13229</v>
      </c>
      <c r="G584" s="21" t="s">
        <v>282</v>
      </c>
    </row>
    <row r="585" spans="1:7" ht="14.4" hidden="1">
      <c r="A585" s="21"/>
      <c r="B585" s="21" t="s">
        <v>298</v>
      </c>
      <c r="C585" s="21" t="s">
        <v>1087</v>
      </c>
      <c r="D585" s="21">
        <v>13</v>
      </c>
      <c r="E585" s="23">
        <v>13228</v>
      </c>
      <c r="G585" s="21" t="s">
        <v>310</v>
      </c>
    </row>
    <row r="586" spans="1:7" ht="14.4" hidden="1">
      <c r="A586" s="21"/>
      <c r="B586" s="22">
        <v>458</v>
      </c>
      <c r="C586" s="21" t="s">
        <v>1088</v>
      </c>
      <c r="D586" s="21">
        <v>13</v>
      </c>
      <c r="E586" s="23">
        <v>13223</v>
      </c>
      <c r="G586" s="21" t="s">
        <v>287</v>
      </c>
    </row>
    <row r="587" spans="1:7" ht="14.4" hidden="1">
      <c r="A587" s="21"/>
      <c r="B587" s="22">
        <v>459</v>
      </c>
      <c r="C587" s="21" t="s">
        <v>1089</v>
      </c>
      <c r="D587" s="21">
        <v>13</v>
      </c>
      <c r="E587" s="23">
        <v>13222</v>
      </c>
      <c r="G587" s="21" t="s">
        <v>310</v>
      </c>
    </row>
    <row r="588" spans="1:7" ht="14.4" hidden="1">
      <c r="A588" s="21"/>
      <c r="B588" s="22">
        <v>460</v>
      </c>
      <c r="C588" s="21" t="s">
        <v>1090</v>
      </c>
      <c r="D588" s="21">
        <v>13</v>
      </c>
      <c r="E588" s="23">
        <v>13222</v>
      </c>
      <c r="G588" s="21" t="s">
        <v>310</v>
      </c>
    </row>
    <row r="589" spans="1:7" ht="14.4" hidden="1">
      <c r="A589" s="21"/>
      <c r="B589" s="21" t="s">
        <v>298</v>
      </c>
      <c r="C589" s="21" t="s">
        <v>1091</v>
      </c>
      <c r="D589" s="21">
        <v>13</v>
      </c>
      <c r="E589" s="23">
        <v>13222</v>
      </c>
      <c r="G589" s="21" t="s">
        <v>310</v>
      </c>
    </row>
    <row r="590" spans="1:7" ht="14.4" hidden="1">
      <c r="A590" s="21"/>
      <c r="B590" s="22">
        <v>461</v>
      </c>
      <c r="C590" s="21" t="s">
        <v>1092</v>
      </c>
      <c r="D590" s="21">
        <v>13</v>
      </c>
      <c r="E590" s="23">
        <v>13220</v>
      </c>
      <c r="G590" s="21" t="s">
        <v>310</v>
      </c>
    </row>
    <row r="591" spans="1:7" ht="14.4" hidden="1">
      <c r="A591" s="21"/>
      <c r="B591" s="22">
        <v>462</v>
      </c>
      <c r="C591" s="21" t="s">
        <v>1093</v>
      </c>
      <c r="D591" s="21">
        <v>13</v>
      </c>
      <c r="E591" s="23">
        <v>13220</v>
      </c>
      <c r="G591" s="21" t="s">
        <v>752</v>
      </c>
    </row>
    <row r="592" spans="1:7" ht="14.4" hidden="1">
      <c r="A592" s="21"/>
      <c r="B592" s="22">
        <v>464</v>
      </c>
      <c r="C592" s="21" t="s">
        <v>1094</v>
      </c>
      <c r="D592" s="21">
        <v>13</v>
      </c>
      <c r="E592" s="23">
        <v>13220</v>
      </c>
      <c r="G592" s="21" t="s">
        <v>310</v>
      </c>
    </row>
    <row r="593" spans="1:7" ht="14.4" hidden="1">
      <c r="A593" s="21"/>
      <c r="B593" s="22">
        <v>463</v>
      </c>
      <c r="C593" s="21" t="s">
        <v>1095</v>
      </c>
      <c r="D593" s="21">
        <v>13</v>
      </c>
      <c r="E593" s="23">
        <v>13220</v>
      </c>
      <c r="G593" s="21" t="s">
        <v>310</v>
      </c>
    </row>
    <row r="594" spans="1:7" ht="14.4" hidden="1">
      <c r="A594" s="21"/>
      <c r="B594" s="22">
        <v>465</v>
      </c>
      <c r="C594" s="21" t="s">
        <v>1096</v>
      </c>
      <c r="D594" s="21">
        <v>13</v>
      </c>
      <c r="E594" s="23">
        <v>13220</v>
      </c>
      <c r="G594" s="21" t="s">
        <v>310</v>
      </c>
    </row>
    <row r="595" spans="1:7" ht="14.4" hidden="1">
      <c r="A595" s="21"/>
      <c r="B595" s="22">
        <v>466</v>
      </c>
      <c r="C595" s="21" t="s">
        <v>1097</v>
      </c>
      <c r="D595" s="21">
        <v>13</v>
      </c>
      <c r="E595" s="23">
        <v>13220</v>
      </c>
      <c r="G595" s="21" t="s">
        <v>287</v>
      </c>
    </row>
    <row r="596" spans="1:7" ht="14.4" hidden="1">
      <c r="A596" s="21"/>
      <c r="B596" s="21" t="s">
        <v>298</v>
      </c>
      <c r="C596" s="21" t="s">
        <v>1098</v>
      </c>
      <c r="D596" s="21">
        <v>13</v>
      </c>
      <c r="E596" s="23">
        <v>13220</v>
      </c>
      <c r="G596" s="21" t="s">
        <v>310</v>
      </c>
    </row>
    <row r="597" spans="1:7" ht="14.4" hidden="1">
      <c r="A597" s="21"/>
      <c r="B597" s="21" t="s">
        <v>298</v>
      </c>
      <c r="C597" s="21" t="s">
        <v>1099</v>
      </c>
      <c r="D597" s="21">
        <v>13</v>
      </c>
      <c r="E597" s="23">
        <v>13220</v>
      </c>
      <c r="G597" s="21" t="s">
        <v>310</v>
      </c>
    </row>
    <row r="598" spans="1:7" ht="14.4" hidden="1">
      <c r="A598" s="21"/>
      <c r="B598" s="21" t="s">
        <v>298</v>
      </c>
      <c r="C598" s="21" t="s">
        <v>1100</v>
      </c>
      <c r="D598" s="21">
        <v>13</v>
      </c>
      <c r="E598" s="23">
        <v>13220</v>
      </c>
      <c r="G598" s="21" t="s">
        <v>274</v>
      </c>
    </row>
    <row r="599" spans="1:7" ht="14.4" hidden="1">
      <c r="A599" s="21"/>
      <c r="B599" s="21" t="s">
        <v>278</v>
      </c>
      <c r="C599" s="21" t="s">
        <v>1101</v>
      </c>
      <c r="D599" s="21">
        <v>13</v>
      </c>
      <c r="E599" s="23">
        <v>13220</v>
      </c>
      <c r="G599" s="21" t="s">
        <v>752</v>
      </c>
    </row>
    <row r="600" spans="1:7" ht="14.4" hidden="1">
      <c r="A600" s="21"/>
      <c r="B600" s="21" t="s">
        <v>298</v>
      </c>
      <c r="C600" s="21" t="s">
        <v>1102</v>
      </c>
      <c r="D600" s="21">
        <v>13</v>
      </c>
      <c r="E600" s="23">
        <v>13220</v>
      </c>
      <c r="G600" s="21" t="s">
        <v>310</v>
      </c>
    </row>
    <row r="601" spans="1:7" ht="14.4" hidden="1">
      <c r="A601" s="21"/>
      <c r="B601" s="21" t="s">
        <v>298</v>
      </c>
      <c r="C601" s="21" t="s">
        <v>1103</v>
      </c>
      <c r="D601" s="21">
        <v>13</v>
      </c>
      <c r="E601" s="23">
        <v>13220</v>
      </c>
      <c r="G601" s="21" t="s">
        <v>287</v>
      </c>
    </row>
    <row r="602" spans="1:7" ht="14.4" hidden="1">
      <c r="A602" s="21"/>
      <c r="B602" s="22">
        <v>468</v>
      </c>
      <c r="C602" s="21" t="s">
        <v>1104</v>
      </c>
      <c r="D602" s="21">
        <v>13</v>
      </c>
      <c r="E602" s="23">
        <v>13218</v>
      </c>
      <c r="G602" s="21" t="s">
        <v>310</v>
      </c>
    </row>
    <row r="603" spans="1:7" ht="14.4" hidden="1">
      <c r="A603" s="21"/>
      <c r="B603" s="22">
        <v>467</v>
      </c>
      <c r="C603" s="21" t="s">
        <v>1105</v>
      </c>
      <c r="D603" s="21">
        <v>13</v>
      </c>
      <c r="E603" s="23">
        <v>13218</v>
      </c>
      <c r="G603" s="21" t="s">
        <v>274</v>
      </c>
    </row>
    <row r="604" spans="1:7" ht="14.4" hidden="1">
      <c r="A604" s="21"/>
      <c r="B604" s="22">
        <v>469</v>
      </c>
      <c r="C604" s="21" t="s">
        <v>1106</v>
      </c>
      <c r="D604" s="21">
        <v>13</v>
      </c>
      <c r="E604" s="23">
        <v>13218</v>
      </c>
      <c r="G604" s="21" t="s">
        <v>310</v>
      </c>
    </row>
    <row r="605" spans="1:7" ht="14.4" hidden="1">
      <c r="A605" s="21"/>
      <c r="B605" s="22">
        <v>470</v>
      </c>
      <c r="C605" s="21" t="s">
        <v>1107</v>
      </c>
      <c r="D605" s="21">
        <v>13</v>
      </c>
      <c r="E605" s="23">
        <v>13216</v>
      </c>
      <c r="G605" s="21" t="s">
        <v>337</v>
      </c>
    </row>
    <row r="606" spans="1:7" ht="14.4" hidden="1">
      <c r="A606" s="21"/>
      <c r="B606" s="22">
        <v>471</v>
      </c>
      <c r="C606" s="21" t="s">
        <v>1108</v>
      </c>
      <c r="D606" s="21">
        <v>13</v>
      </c>
      <c r="E606" s="23">
        <v>13215</v>
      </c>
      <c r="G606" s="21" t="s">
        <v>287</v>
      </c>
    </row>
    <row r="607" spans="1:7" ht="14.4" hidden="1">
      <c r="A607" s="21"/>
      <c r="B607" s="21" t="s">
        <v>298</v>
      </c>
      <c r="C607" s="21" t="s">
        <v>1109</v>
      </c>
      <c r="D607" s="21">
        <v>13</v>
      </c>
      <c r="E607" s="23">
        <v>13215</v>
      </c>
      <c r="G607" s="21" t="s">
        <v>287</v>
      </c>
    </row>
    <row r="608" spans="1:7" ht="14.4" hidden="1">
      <c r="A608" s="21"/>
      <c r="B608" s="22">
        <v>472</v>
      </c>
      <c r="C608" s="21" t="s">
        <v>1110</v>
      </c>
      <c r="D608" s="21">
        <v>13</v>
      </c>
      <c r="E608" s="23">
        <v>13214</v>
      </c>
      <c r="G608" s="21" t="s">
        <v>274</v>
      </c>
    </row>
    <row r="609" spans="1:7" ht="14.4" hidden="1">
      <c r="A609" s="21"/>
      <c r="B609" s="21" t="s">
        <v>278</v>
      </c>
      <c r="C609" s="21" t="s">
        <v>1111</v>
      </c>
      <c r="D609" s="21">
        <v>13</v>
      </c>
      <c r="E609" s="23">
        <v>13214</v>
      </c>
      <c r="G609" s="21" t="s">
        <v>310</v>
      </c>
    </row>
    <row r="610" spans="1:7" ht="14.4" hidden="1">
      <c r="A610" s="21"/>
      <c r="B610" s="22">
        <v>473</v>
      </c>
      <c r="C610" s="21" t="s">
        <v>1112</v>
      </c>
      <c r="D610" s="21">
        <v>13</v>
      </c>
      <c r="E610" s="23">
        <v>13213</v>
      </c>
      <c r="G610" s="21" t="s">
        <v>752</v>
      </c>
    </row>
    <row r="611" spans="1:7" ht="14.4" hidden="1">
      <c r="A611" s="21"/>
      <c r="B611" s="21" t="s">
        <v>298</v>
      </c>
      <c r="C611" s="21" t="s">
        <v>1113</v>
      </c>
      <c r="D611" s="21">
        <v>13</v>
      </c>
      <c r="E611" s="23">
        <v>13213</v>
      </c>
      <c r="G611" s="21" t="s">
        <v>282</v>
      </c>
    </row>
    <row r="612" spans="1:7" ht="14.4" hidden="1">
      <c r="A612" s="21"/>
      <c r="B612" s="21" t="s">
        <v>298</v>
      </c>
      <c r="C612" s="21" t="s">
        <v>1114</v>
      </c>
      <c r="D612" s="21">
        <v>13</v>
      </c>
      <c r="E612" s="23">
        <v>13213</v>
      </c>
      <c r="G612" s="21" t="s">
        <v>310</v>
      </c>
    </row>
    <row r="613" spans="1:7" ht="14.4" hidden="1">
      <c r="A613" s="21"/>
      <c r="B613" s="22">
        <v>474</v>
      </c>
      <c r="C613" s="21" t="s">
        <v>1115</v>
      </c>
      <c r="D613" s="21">
        <v>13</v>
      </c>
      <c r="E613" s="23">
        <v>13212</v>
      </c>
      <c r="G613" s="21" t="s">
        <v>274</v>
      </c>
    </row>
    <row r="614" spans="1:7" ht="14.4" hidden="1">
      <c r="A614" s="21"/>
      <c r="B614" s="22">
        <v>475</v>
      </c>
      <c r="C614" s="21" t="s">
        <v>1116</v>
      </c>
      <c r="D614" s="21">
        <v>13</v>
      </c>
      <c r="E614" s="23">
        <v>13209</v>
      </c>
      <c r="G614" s="21" t="s">
        <v>274</v>
      </c>
    </row>
    <row r="615" spans="1:7" ht="14.4" hidden="1">
      <c r="A615" s="21"/>
      <c r="B615" s="22">
        <v>476</v>
      </c>
      <c r="C615" s="21" t="s">
        <v>1117</v>
      </c>
      <c r="D615" s="21">
        <v>13</v>
      </c>
      <c r="E615" s="23">
        <v>13209</v>
      </c>
      <c r="G615" s="21" t="s">
        <v>274</v>
      </c>
    </row>
    <row r="616" spans="1:7" ht="14.4" hidden="1">
      <c r="A616" s="21"/>
      <c r="B616" s="21" t="s">
        <v>298</v>
      </c>
      <c r="C616" s="21" t="s">
        <v>1118</v>
      </c>
      <c r="D616" s="21">
        <v>13</v>
      </c>
      <c r="E616" s="23">
        <v>13209</v>
      </c>
      <c r="G616" s="21" t="s">
        <v>337</v>
      </c>
    </row>
    <row r="617" spans="1:7" ht="14.4" hidden="1">
      <c r="A617" s="21"/>
      <c r="B617" s="22">
        <v>477</v>
      </c>
      <c r="C617" s="21" t="s">
        <v>1119</v>
      </c>
      <c r="D617" s="21">
        <v>13</v>
      </c>
      <c r="E617" s="23">
        <v>13208</v>
      </c>
      <c r="G617" s="21" t="s">
        <v>337</v>
      </c>
    </row>
    <row r="618" spans="1:7" ht="14.4" hidden="1">
      <c r="A618" s="21"/>
      <c r="B618" s="22">
        <v>478</v>
      </c>
      <c r="C618" s="21" t="s">
        <v>1120</v>
      </c>
      <c r="D618" s="21">
        <v>13</v>
      </c>
      <c r="E618" s="23">
        <v>13208</v>
      </c>
      <c r="G618" s="21" t="s">
        <v>287</v>
      </c>
    </row>
    <row r="619" spans="1:7" ht="14.4" hidden="1">
      <c r="A619" s="21"/>
      <c r="B619" s="22">
        <v>479</v>
      </c>
      <c r="C619" s="21" t="s">
        <v>1121</v>
      </c>
      <c r="D619" s="21">
        <v>13</v>
      </c>
      <c r="E619" s="23">
        <v>13206</v>
      </c>
      <c r="G619" s="21" t="s">
        <v>310</v>
      </c>
    </row>
    <row r="620" spans="1:7" ht="14.4" hidden="1">
      <c r="A620" s="21"/>
      <c r="B620" s="22">
        <v>480</v>
      </c>
      <c r="C620" s="21" t="s">
        <v>1122</v>
      </c>
      <c r="D620" s="21">
        <v>13</v>
      </c>
      <c r="E620" s="23">
        <v>13206</v>
      </c>
      <c r="G620" s="21" t="s">
        <v>310</v>
      </c>
    </row>
    <row r="621" spans="1:7" ht="14.4" hidden="1">
      <c r="A621" s="21"/>
      <c r="B621" s="22">
        <v>481</v>
      </c>
      <c r="C621" s="21" t="s">
        <v>1123</v>
      </c>
      <c r="D621" s="21">
        <v>13</v>
      </c>
      <c r="E621" s="23">
        <v>13205</v>
      </c>
      <c r="G621" s="21" t="s">
        <v>752</v>
      </c>
    </row>
    <row r="622" spans="1:7" ht="14.4" hidden="1">
      <c r="A622" s="21"/>
      <c r="B622" s="22">
        <v>482</v>
      </c>
      <c r="C622" s="21" t="s">
        <v>1124</v>
      </c>
      <c r="D622" s="21">
        <v>13</v>
      </c>
      <c r="E622" s="23">
        <v>13205</v>
      </c>
      <c r="G622" s="21" t="s">
        <v>282</v>
      </c>
    </row>
    <row r="623" spans="1:7" ht="14.4" hidden="1">
      <c r="A623" s="21"/>
      <c r="B623" s="22">
        <v>483</v>
      </c>
      <c r="C623" s="21" t="s">
        <v>1125</v>
      </c>
      <c r="D623" s="21">
        <v>13</v>
      </c>
      <c r="E623" s="23">
        <v>13205</v>
      </c>
      <c r="G623" s="21" t="s">
        <v>310</v>
      </c>
    </row>
    <row r="624" spans="1:7" ht="14.4" hidden="1">
      <c r="A624" s="21"/>
      <c r="B624" s="22">
        <v>484</v>
      </c>
      <c r="C624" s="21" t="s">
        <v>1126</v>
      </c>
      <c r="D624" s="21">
        <v>13</v>
      </c>
      <c r="E624" s="23">
        <v>13204</v>
      </c>
      <c r="G624" s="21" t="s">
        <v>287</v>
      </c>
    </row>
    <row r="625" spans="1:7" ht="14.4" hidden="1">
      <c r="A625" s="21"/>
      <c r="B625" s="22">
        <v>485</v>
      </c>
      <c r="C625" s="21" t="s">
        <v>1127</v>
      </c>
      <c r="D625" s="21">
        <v>13</v>
      </c>
      <c r="E625" s="23">
        <v>13203</v>
      </c>
      <c r="G625" s="21" t="s">
        <v>310</v>
      </c>
    </row>
    <row r="626" spans="1:7" ht="14.4" hidden="1">
      <c r="A626" s="21"/>
      <c r="B626" s="22">
        <v>486</v>
      </c>
      <c r="C626" s="21" t="s">
        <v>1128</v>
      </c>
      <c r="D626" s="21">
        <v>13</v>
      </c>
      <c r="E626" s="23">
        <v>13203</v>
      </c>
      <c r="G626" s="21" t="s">
        <v>310</v>
      </c>
    </row>
    <row r="627" spans="1:7" ht="14.4" hidden="1">
      <c r="A627" s="21"/>
      <c r="B627" s="22">
        <v>487</v>
      </c>
      <c r="C627" s="21" t="s">
        <v>1129</v>
      </c>
      <c r="D627" s="21">
        <v>13</v>
      </c>
      <c r="E627" s="23">
        <v>13203</v>
      </c>
      <c r="G627" s="21" t="s">
        <v>274</v>
      </c>
    </row>
    <row r="628" spans="1:7" ht="14.4" hidden="1">
      <c r="A628" s="21"/>
      <c r="B628" s="22">
        <v>488</v>
      </c>
      <c r="C628" s="21" t="s">
        <v>1130</v>
      </c>
      <c r="D628" s="21">
        <v>13</v>
      </c>
      <c r="E628" s="23">
        <v>13203</v>
      </c>
      <c r="G628" s="21" t="s">
        <v>282</v>
      </c>
    </row>
    <row r="629" spans="1:7" ht="14.4" hidden="1">
      <c r="A629" s="21"/>
      <c r="B629" s="22">
        <v>489</v>
      </c>
      <c r="C629" s="21" t="s">
        <v>1131</v>
      </c>
      <c r="D629" s="21">
        <v>13</v>
      </c>
      <c r="E629" s="23">
        <v>13202</v>
      </c>
      <c r="G629" s="21" t="s">
        <v>274</v>
      </c>
    </row>
    <row r="630" spans="1:7" ht="14.4" hidden="1">
      <c r="A630" s="21"/>
      <c r="B630" s="22">
        <v>490</v>
      </c>
      <c r="C630" s="21" t="s">
        <v>1132</v>
      </c>
      <c r="D630" s="21">
        <v>13</v>
      </c>
      <c r="E630" s="23">
        <v>13201</v>
      </c>
      <c r="G630" s="21" t="s">
        <v>310</v>
      </c>
    </row>
    <row r="631" spans="1:7" ht="14.4" hidden="1">
      <c r="A631" s="21"/>
      <c r="B631" s="22">
        <v>491</v>
      </c>
      <c r="C631" s="21" t="s">
        <v>1133</v>
      </c>
      <c r="D631" s="21">
        <v>13</v>
      </c>
      <c r="E631" s="23">
        <v>13198</v>
      </c>
      <c r="G631" s="21" t="s">
        <v>274</v>
      </c>
    </row>
    <row r="632" spans="1:7" ht="14.4" hidden="1">
      <c r="A632" s="21"/>
      <c r="B632" s="22">
        <v>492</v>
      </c>
      <c r="C632" s="21" t="s">
        <v>1134</v>
      </c>
      <c r="D632" s="21">
        <v>13</v>
      </c>
      <c r="E632" s="23">
        <v>13195</v>
      </c>
      <c r="G632" s="21" t="s">
        <v>343</v>
      </c>
    </row>
    <row r="633" spans="1:7" ht="14.4" hidden="1">
      <c r="A633" s="21"/>
      <c r="B633" s="22">
        <v>493</v>
      </c>
      <c r="C633" s="21" t="s">
        <v>1135</v>
      </c>
      <c r="D633" s="21">
        <v>13</v>
      </c>
      <c r="E633" s="23">
        <v>13194</v>
      </c>
      <c r="G633" s="21" t="s">
        <v>300</v>
      </c>
    </row>
    <row r="634" spans="1:7" ht="14.4" hidden="1">
      <c r="A634" s="21"/>
      <c r="B634" s="22">
        <v>494</v>
      </c>
      <c r="C634" s="21" t="s">
        <v>1136</v>
      </c>
      <c r="D634" s="21">
        <v>13</v>
      </c>
      <c r="E634" s="23">
        <v>13192</v>
      </c>
      <c r="G634" s="21" t="s">
        <v>274</v>
      </c>
    </row>
    <row r="635" spans="1:7" ht="14.4" hidden="1">
      <c r="A635" s="21"/>
      <c r="B635" s="21" t="s">
        <v>298</v>
      </c>
      <c r="C635" s="21" t="s">
        <v>1137</v>
      </c>
      <c r="D635" s="21">
        <v>13</v>
      </c>
      <c r="E635" s="23">
        <v>13192</v>
      </c>
      <c r="G635" s="21" t="s">
        <v>310</v>
      </c>
    </row>
    <row r="636" spans="1:7" ht="14.4" hidden="1">
      <c r="A636" s="21"/>
      <c r="B636" s="22">
        <v>495</v>
      </c>
      <c r="C636" s="21" t="s">
        <v>1138</v>
      </c>
      <c r="D636" s="21">
        <v>13</v>
      </c>
      <c r="E636" s="23">
        <v>13189</v>
      </c>
      <c r="G636" s="21" t="s">
        <v>752</v>
      </c>
    </row>
    <row r="637" spans="1:7" ht="14.4" hidden="1">
      <c r="A637" s="21"/>
      <c r="B637" s="21" t="s">
        <v>298</v>
      </c>
      <c r="C637" s="21" t="s">
        <v>1139</v>
      </c>
      <c r="D637" s="21">
        <v>13</v>
      </c>
      <c r="E637" s="23">
        <v>13188</v>
      </c>
      <c r="G637" s="21" t="s">
        <v>310</v>
      </c>
    </row>
    <row r="638" spans="1:7" ht="14.4" hidden="1">
      <c r="A638" s="21"/>
      <c r="B638" s="22">
        <v>496</v>
      </c>
      <c r="C638" s="21" t="s">
        <v>1140</v>
      </c>
      <c r="D638" s="21">
        <v>13</v>
      </c>
      <c r="E638" s="23">
        <v>13185</v>
      </c>
      <c r="G638" s="21" t="s">
        <v>310</v>
      </c>
    </row>
    <row r="639" spans="1:7" ht="14.4" hidden="1">
      <c r="A639" s="21"/>
      <c r="B639" s="22">
        <v>497</v>
      </c>
      <c r="C639" s="21" t="s">
        <v>1141</v>
      </c>
      <c r="D639" s="21">
        <v>13</v>
      </c>
      <c r="E639" s="23">
        <v>13184</v>
      </c>
      <c r="G639" s="21" t="s">
        <v>282</v>
      </c>
    </row>
    <row r="640" spans="1:7" ht="14.4" hidden="1">
      <c r="A640" s="21"/>
      <c r="B640" s="21" t="s">
        <v>298</v>
      </c>
      <c r="C640" s="21" t="s">
        <v>1142</v>
      </c>
      <c r="D640" s="21">
        <v>13</v>
      </c>
      <c r="E640" s="23">
        <v>13184</v>
      </c>
      <c r="G640" s="21" t="s">
        <v>287</v>
      </c>
    </row>
    <row r="641" spans="1:7" ht="14.4" hidden="1">
      <c r="A641" s="21"/>
      <c r="B641" s="21" t="s">
        <v>298</v>
      </c>
      <c r="C641" s="21" t="s">
        <v>1143</v>
      </c>
      <c r="D641" s="21">
        <v>13</v>
      </c>
      <c r="E641" s="23">
        <v>13182</v>
      </c>
      <c r="G641" s="21" t="s">
        <v>310</v>
      </c>
    </row>
    <row r="642" spans="1:7" ht="14.4" hidden="1">
      <c r="A642" s="21"/>
      <c r="B642" s="22">
        <v>498</v>
      </c>
      <c r="C642" s="21" t="s">
        <v>1144</v>
      </c>
      <c r="D642" s="21">
        <v>13</v>
      </c>
      <c r="E642" s="23">
        <v>13180</v>
      </c>
      <c r="G642" s="21" t="s">
        <v>752</v>
      </c>
    </row>
    <row r="643" spans="1:7" ht="14.4" hidden="1">
      <c r="A643" s="21"/>
      <c r="B643" s="22">
        <v>499</v>
      </c>
      <c r="C643" s="21" t="s">
        <v>1145</v>
      </c>
      <c r="D643" s="21">
        <v>13</v>
      </c>
      <c r="E643" s="23">
        <v>13180</v>
      </c>
      <c r="G643" s="21" t="s">
        <v>310</v>
      </c>
    </row>
    <row r="644" spans="1:7" ht="14.4" hidden="1">
      <c r="A644" s="21"/>
      <c r="B644" s="22">
        <v>500</v>
      </c>
      <c r="C644" s="21" t="s">
        <v>1146</v>
      </c>
      <c r="D644" s="21">
        <v>13</v>
      </c>
      <c r="E644" s="23">
        <v>13180</v>
      </c>
      <c r="G644" s="21" t="s">
        <v>310</v>
      </c>
    </row>
    <row r="645" spans="1:7" ht="14.4" hidden="1">
      <c r="A645" s="21"/>
      <c r="B645" s="22">
        <v>501</v>
      </c>
      <c r="C645" s="21" t="s">
        <v>1147</v>
      </c>
      <c r="D645" s="21">
        <v>13</v>
      </c>
      <c r="E645" s="23">
        <v>13180</v>
      </c>
      <c r="G645" s="21" t="s">
        <v>287</v>
      </c>
    </row>
    <row r="646" spans="1:7" ht="14.4" hidden="1">
      <c r="A646" s="21"/>
      <c r="B646" s="22">
        <v>502</v>
      </c>
      <c r="C646" s="21" t="s">
        <v>1148</v>
      </c>
      <c r="D646" s="21">
        <v>13</v>
      </c>
      <c r="E646" s="23">
        <v>13180</v>
      </c>
      <c r="G646" s="21" t="s">
        <v>310</v>
      </c>
    </row>
    <row r="647" spans="1:7" ht="14.4" hidden="1">
      <c r="A647" s="21"/>
      <c r="B647" s="22">
        <v>503</v>
      </c>
      <c r="C647" s="21" t="s">
        <v>1149</v>
      </c>
      <c r="D647" s="21">
        <v>13</v>
      </c>
      <c r="E647" s="23">
        <v>13180</v>
      </c>
      <c r="G647" s="21" t="s">
        <v>337</v>
      </c>
    </row>
    <row r="648" spans="1:7" ht="14.4" hidden="1">
      <c r="A648" s="21"/>
      <c r="B648" s="21" t="s">
        <v>278</v>
      </c>
      <c r="C648" s="21" t="s">
        <v>1150</v>
      </c>
      <c r="D648" s="21">
        <v>13</v>
      </c>
      <c r="E648" s="23">
        <v>13180</v>
      </c>
      <c r="G648" s="21" t="s">
        <v>287</v>
      </c>
    </row>
    <row r="649" spans="1:7" ht="14.4" hidden="1">
      <c r="A649" s="21"/>
      <c r="B649" s="21" t="s">
        <v>298</v>
      </c>
      <c r="C649" s="21" t="s">
        <v>1151</v>
      </c>
      <c r="D649" s="21">
        <v>13</v>
      </c>
      <c r="E649" s="23">
        <v>13180</v>
      </c>
      <c r="G649" s="21" t="s">
        <v>310</v>
      </c>
    </row>
    <row r="650" spans="1:7" ht="14.4" hidden="1">
      <c r="A650" s="21"/>
      <c r="B650" s="21" t="s">
        <v>298</v>
      </c>
      <c r="C650" s="21" t="s">
        <v>1152</v>
      </c>
      <c r="D650" s="21">
        <v>13</v>
      </c>
      <c r="E650" s="23">
        <v>13180</v>
      </c>
      <c r="G650" s="21" t="s">
        <v>310</v>
      </c>
    </row>
    <row r="651" spans="1:7" ht="14.4" hidden="1">
      <c r="A651" s="21"/>
      <c r="B651" s="21" t="s">
        <v>298</v>
      </c>
      <c r="C651" s="21" t="s">
        <v>1153</v>
      </c>
      <c r="D651" s="21">
        <v>13</v>
      </c>
      <c r="E651" s="23">
        <v>13177</v>
      </c>
      <c r="G651" s="21" t="s">
        <v>310</v>
      </c>
    </row>
    <row r="652" spans="1:7" ht="14.4" hidden="1">
      <c r="A652" s="21"/>
      <c r="B652" s="22">
        <v>504</v>
      </c>
      <c r="C652" s="21" t="s">
        <v>1154</v>
      </c>
      <c r="D652" s="21">
        <v>13</v>
      </c>
      <c r="E652" s="23">
        <v>13176</v>
      </c>
      <c r="G652" s="21" t="s">
        <v>287</v>
      </c>
    </row>
    <row r="653" spans="1:7" ht="14.4" hidden="1">
      <c r="A653" s="21"/>
      <c r="B653" s="22">
        <v>505</v>
      </c>
      <c r="C653" s="21" t="s">
        <v>1155</v>
      </c>
      <c r="D653" s="21">
        <v>13</v>
      </c>
      <c r="E653" s="23">
        <v>13172</v>
      </c>
      <c r="G653" s="21" t="s">
        <v>310</v>
      </c>
    </row>
    <row r="654" spans="1:7" ht="14.4" hidden="1">
      <c r="A654" s="21"/>
      <c r="B654" s="22">
        <v>506</v>
      </c>
      <c r="C654" s="21" t="s">
        <v>1156</v>
      </c>
      <c r="D654" s="21">
        <v>13</v>
      </c>
      <c r="E654" s="23">
        <v>13169</v>
      </c>
      <c r="G654" s="21" t="s">
        <v>310</v>
      </c>
    </row>
    <row r="655" spans="1:7" ht="14.4" hidden="1">
      <c r="A655" s="21"/>
      <c r="B655" s="22">
        <v>507</v>
      </c>
      <c r="C655" s="21" t="s">
        <v>1157</v>
      </c>
      <c r="D655" s="21">
        <v>13</v>
      </c>
      <c r="E655" s="23">
        <v>13168</v>
      </c>
      <c r="G655" s="21" t="s">
        <v>310</v>
      </c>
    </row>
    <row r="656" spans="1:7" ht="14.4" hidden="1">
      <c r="A656" s="21"/>
      <c r="B656" s="22">
        <v>508</v>
      </c>
      <c r="C656" s="21" t="s">
        <v>1158</v>
      </c>
      <c r="D656" s="21">
        <v>13</v>
      </c>
      <c r="E656" s="23">
        <v>13165</v>
      </c>
      <c r="G656" s="21" t="s">
        <v>310</v>
      </c>
    </row>
    <row r="657" spans="1:7" ht="14.4" hidden="1">
      <c r="A657" s="21"/>
      <c r="B657" s="22">
        <v>509</v>
      </c>
      <c r="C657" s="21" t="s">
        <v>1159</v>
      </c>
      <c r="D657" s="21">
        <v>13</v>
      </c>
      <c r="E657" s="23">
        <v>13165</v>
      </c>
      <c r="G657" s="21" t="s">
        <v>310</v>
      </c>
    </row>
    <row r="658" spans="1:7" ht="14.4" hidden="1">
      <c r="A658" s="21"/>
      <c r="B658" s="22">
        <v>510</v>
      </c>
      <c r="C658" s="21" t="s">
        <v>1160</v>
      </c>
      <c r="D658" s="21">
        <v>13</v>
      </c>
      <c r="E658" s="23">
        <v>13164</v>
      </c>
      <c r="G658" s="21" t="s">
        <v>287</v>
      </c>
    </row>
    <row r="659" spans="1:7" ht="14.4" hidden="1">
      <c r="A659" s="21"/>
      <c r="B659" s="22">
        <v>511</v>
      </c>
      <c r="C659" s="21" t="s">
        <v>1161</v>
      </c>
      <c r="D659" s="21">
        <v>13</v>
      </c>
      <c r="E659" s="23">
        <v>13164</v>
      </c>
      <c r="G659" s="21" t="s">
        <v>310</v>
      </c>
    </row>
    <row r="660" spans="1:7" ht="14.4" hidden="1">
      <c r="A660" s="21"/>
      <c r="B660" s="21" t="s">
        <v>298</v>
      </c>
      <c r="C660" s="21" t="s">
        <v>1162</v>
      </c>
      <c r="D660" s="21">
        <v>13</v>
      </c>
      <c r="E660" s="23">
        <v>13164</v>
      </c>
      <c r="G660" s="21" t="s">
        <v>343</v>
      </c>
    </row>
    <row r="661" spans="1:7" ht="14.4" hidden="1">
      <c r="A661" s="21"/>
      <c r="B661" s="22">
        <v>512</v>
      </c>
      <c r="C661" s="21" t="s">
        <v>1163</v>
      </c>
      <c r="D661" s="21">
        <v>13</v>
      </c>
      <c r="E661" s="23">
        <v>13162</v>
      </c>
      <c r="G661" s="21" t="s">
        <v>310</v>
      </c>
    </row>
    <row r="662" spans="1:7" ht="14.4" hidden="1">
      <c r="A662" s="21"/>
      <c r="B662" s="22">
        <v>513</v>
      </c>
      <c r="C662" s="21" t="s">
        <v>1164</v>
      </c>
      <c r="D662" s="21">
        <v>13</v>
      </c>
      <c r="E662" s="23">
        <v>13162</v>
      </c>
      <c r="G662" s="21" t="s">
        <v>337</v>
      </c>
    </row>
    <row r="663" spans="1:7" ht="14.4" hidden="1">
      <c r="A663" s="21"/>
      <c r="B663" s="22">
        <v>514</v>
      </c>
      <c r="C663" s="21" t="s">
        <v>1165</v>
      </c>
      <c r="D663" s="21">
        <v>13</v>
      </c>
      <c r="E663" s="23">
        <v>13159</v>
      </c>
      <c r="G663" s="21" t="s">
        <v>310</v>
      </c>
    </row>
    <row r="664" spans="1:7" ht="14.4" hidden="1">
      <c r="A664" s="21"/>
      <c r="B664" s="22">
        <v>515</v>
      </c>
      <c r="C664" s="21" t="s">
        <v>1166</v>
      </c>
      <c r="D664" s="21">
        <v>13</v>
      </c>
      <c r="E664" s="23">
        <v>13158</v>
      </c>
      <c r="G664" s="21" t="s">
        <v>310</v>
      </c>
    </row>
    <row r="665" spans="1:7" ht="14.4" hidden="1">
      <c r="A665" s="21"/>
      <c r="B665" s="22">
        <v>516</v>
      </c>
      <c r="C665" s="21" t="s">
        <v>1167</v>
      </c>
      <c r="D665" s="21">
        <v>13</v>
      </c>
      <c r="E665" s="23">
        <v>13158</v>
      </c>
      <c r="G665" s="21" t="s">
        <v>310</v>
      </c>
    </row>
    <row r="666" spans="1:7" ht="14.4" hidden="1">
      <c r="A666" s="21"/>
      <c r="B666" s="22">
        <v>517</v>
      </c>
      <c r="C666" s="21" t="s">
        <v>1168</v>
      </c>
      <c r="D666" s="21">
        <v>13</v>
      </c>
      <c r="E666" s="23">
        <v>13157</v>
      </c>
      <c r="G666" s="21" t="s">
        <v>310</v>
      </c>
    </row>
    <row r="667" spans="1:7" ht="14.4" hidden="1">
      <c r="A667" s="21"/>
      <c r="B667" s="22">
        <v>518</v>
      </c>
      <c r="C667" s="21" t="s">
        <v>1169</v>
      </c>
      <c r="D667" s="21">
        <v>13</v>
      </c>
      <c r="E667" s="23">
        <v>13156</v>
      </c>
      <c r="G667" s="21" t="s">
        <v>310</v>
      </c>
    </row>
    <row r="668" spans="1:7" ht="14.4" hidden="1">
      <c r="A668" s="21"/>
      <c r="B668" s="22">
        <v>519</v>
      </c>
      <c r="C668" s="21" t="s">
        <v>1170</v>
      </c>
      <c r="D668" s="21">
        <v>13</v>
      </c>
      <c r="E668" s="23">
        <v>13155</v>
      </c>
      <c r="G668" s="21" t="s">
        <v>310</v>
      </c>
    </row>
    <row r="669" spans="1:7" ht="14.4" hidden="1">
      <c r="A669" s="21"/>
      <c r="B669" s="21" t="s">
        <v>298</v>
      </c>
      <c r="C669" s="21" t="s">
        <v>1171</v>
      </c>
      <c r="D669" s="21">
        <v>13</v>
      </c>
      <c r="E669" s="23">
        <v>13155</v>
      </c>
      <c r="G669" s="21" t="s">
        <v>337</v>
      </c>
    </row>
    <row r="670" spans="1:7" ht="14.4" hidden="1">
      <c r="A670" s="21"/>
      <c r="B670" s="22">
        <v>520</v>
      </c>
      <c r="C670" s="21" t="s">
        <v>1172</v>
      </c>
      <c r="D670" s="21">
        <v>13</v>
      </c>
      <c r="E670" s="23">
        <v>13153</v>
      </c>
      <c r="G670" s="21" t="s">
        <v>282</v>
      </c>
    </row>
    <row r="671" spans="1:7" ht="14.4" hidden="1">
      <c r="A671" s="21"/>
      <c r="B671" s="22">
        <v>521</v>
      </c>
      <c r="C671" s="21" t="s">
        <v>1173</v>
      </c>
      <c r="D671" s="21">
        <v>13</v>
      </c>
      <c r="E671" s="23">
        <v>13153</v>
      </c>
      <c r="G671" s="21" t="s">
        <v>287</v>
      </c>
    </row>
    <row r="672" spans="1:7" ht="14.4" hidden="1">
      <c r="A672" s="21"/>
      <c r="B672" s="22">
        <v>522</v>
      </c>
      <c r="C672" s="21" t="s">
        <v>1174</v>
      </c>
      <c r="D672" s="21">
        <v>13</v>
      </c>
      <c r="E672" s="23">
        <v>13153</v>
      </c>
      <c r="G672" s="21" t="s">
        <v>282</v>
      </c>
    </row>
    <row r="673" spans="1:7" ht="14.4" hidden="1">
      <c r="A673" s="21"/>
      <c r="B673" s="21" t="s">
        <v>278</v>
      </c>
      <c r="C673" s="21" t="s">
        <v>1175</v>
      </c>
      <c r="D673" s="21">
        <v>13</v>
      </c>
      <c r="E673" s="23">
        <v>13152</v>
      </c>
      <c r="G673" s="21" t="s">
        <v>310</v>
      </c>
    </row>
    <row r="674" spans="1:7" ht="14.4" hidden="1">
      <c r="A674" s="21"/>
      <c r="B674" s="22">
        <v>523</v>
      </c>
      <c r="C674" s="21" t="s">
        <v>1176</v>
      </c>
      <c r="D674" s="21">
        <v>13</v>
      </c>
      <c r="E674" s="23">
        <v>13151</v>
      </c>
      <c r="G674" s="21" t="s">
        <v>274</v>
      </c>
    </row>
    <row r="675" spans="1:7" ht="14.4" hidden="1">
      <c r="A675" s="21"/>
      <c r="B675" s="22">
        <v>524</v>
      </c>
      <c r="C675" s="21" t="s">
        <v>1177</v>
      </c>
      <c r="D675" s="21">
        <v>13</v>
      </c>
      <c r="E675" s="23">
        <v>13150</v>
      </c>
      <c r="G675" s="21" t="s">
        <v>310</v>
      </c>
    </row>
    <row r="676" spans="1:7" ht="14.4" hidden="1">
      <c r="A676" s="21"/>
      <c r="B676" s="22">
        <v>525</v>
      </c>
      <c r="C676" s="21" t="s">
        <v>1178</v>
      </c>
      <c r="D676" s="21">
        <v>13</v>
      </c>
      <c r="E676" s="23">
        <v>13150</v>
      </c>
      <c r="G676" s="21" t="s">
        <v>287</v>
      </c>
    </row>
    <row r="677" spans="1:7" ht="14.4" hidden="1">
      <c r="A677" s="21"/>
      <c r="B677" s="22">
        <v>526</v>
      </c>
      <c r="C677" s="21" t="s">
        <v>1179</v>
      </c>
      <c r="D677" s="21">
        <v>13</v>
      </c>
      <c r="E677" s="23">
        <v>13148</v>
      </c>
      <c r="G677" s="21" t="s">
        <v>310</v>
      </c>
    </row>
    <row r="678" spans="1:7" ht="14.4" hidden="1">
      <c r="A678" s="21"/>
      <c r="B678" s="22">
        <v>527</v>
      </c>
      <c r="C678" s="21" t="s">
        <v>1180</v>
      </c>
      <c r="D678" s="21">
        <v>13</v>
      </c>
      <c r="E678" s="23">
        <v>13147</v>
      </c>
      <c r="G678" s="21" t="s">
        <v>274</v>
      </c>
    </row>
    <row r="679" spans="1:7" ht="14.4" hidden="1">
      <c r="A679" s="21"/>
      <c r="B679" s="22">
        <v>528</v>
      </c>
      <c r="C679" s="21" t="s">
        <v>1181</v>
      </c>
      <c r="D679" s="21">
        <v>13</v>
      </c>
      <c r="E679" s="23">
        <v>13146</v>
      </c>
      <c r="G679" s="21" t="s">
        <v>287</v>
      </c>
    </row>
    <row r="680" spans="1:7" ht="14.4" hidden="1">
      <c r="A680" s="21"/>
      <c r="B680" s="22">
        <v>529</v>
      </c>
      <c r="C680" s="21" t="s">
        <v>1182</v>
      </c>
      <c r="D680" s="21">
        <v>13</v>
      </c>
      <c r="E680" s="23">
        <v>13145</v>
      </c>
      <c r="G680" s="21" t="s">
        <v>310</v>
      </c>
    </row>
    <row r="681" spans="1:7" ht="14.4" hidden="1">
      <c r="A681" s="21"/>
      <c r="B681" s="21" t="s">
        <v>298</v>
      </c>
      <c r="C681" s="21" t="s">
        <v>1183</v>
      </c>
      <c r="D681" s="21">
        <v>13</v>
      </c>
      <c r="E681" s="23">
        <v>13145</v>
      </c>
      <c r="G681" s="21" t="s">
        <v>274</v>
      </c>
    </row>
    <row r="682" spans="1:7" ht="14.4" hidden="1">
      <c r="A682" s="21"/>
      <c r="B682" s="22">
        <v>530</v>
      </c>
      <c r="C682" s="21" t="s">
        <v>1184</v>
      </c>
      <c r="D682" s="21">
        <v>13</v>
      </c>
      <c r="E682" s="23">
        <v>13144</v>
      </c>
      <c r="G682" s="21" t="s">
        <v>310</v>
      </c>
    </row>
    <row r="683" spans="1:7" ht="14.4" hidden="1">
      <c r="A683" s="21"/>
      <c r="B683" s="22">
        <v>531</v>
      </c>
      <c r="C683" s="21" t="s">
        <v>1185</v>
      </c>
      <c r="D683" s="21">
        <v>13</v>
      </c>
      <c r="E683" s="23">
        <v>13143</v>
      </c>
      <c r="G683" s="21" t="s">
        <v>282</v>
      </c>
    </row>
    <row r="684" spans="1:7" ht="14.4" hidden="1">
      <c r="A684" s="21"/>
      <c r="B684" s="22">
        <v>532</v>
      </c>
      <c r="C684" s="21" t="s">
        <v>1186</v>
      </c>
      <c r="D684" s="21">
        <v>13</v>
      </c>
      <c r="E684" s="23">
        <v>13142</v>
      </c>
      <c r="G684" s="21" t="s">
        <v>337</v>
      </c>
    </row>
    <row r="685" spans="1:7" ht="14.4" hidden="1">
      <c r="A685" s="21"/>
      <c r="B685" s="22">
        <v>533</v>
      </c>
      <c r="C685" s="21" t="s">
        <v>1187</v>
      </c>
      <c r="D685" s="21">
        <v>13</v>
      </c>
      <c r="E685" s="23">
        <v>13140</v>
      </c>
      <c r="G685" s="21" t="s">
        <v>337</v>
      </c>
    </row>
    <row r="686" spans="1:7" ht="14.4" hidden="1">
      <c r="A686" s="21"/>
      <c r="B686" s="22">
        <v>534</v>
      </c>
      <c r="C686" s="21" t="s">
        <v>1187</v>
      </c>
      <c r="D686" s="21">
        <v>13</v>
      </c>
      <c r="E686" s="23">
        <v>13140</v>
      </c>
      <c r="G686" s="21" t="s">
        <v>274</v>
      </c>
    </row>
    <row r="687" spans="1:7" ht="14.4" hidden="1">
      <c r="A687" s="21"/>
      <c r="B687" s="22">
        <v>536</v>
      </c>
      <c r="C687" s="21" t="s">
        <v>1188</v>
      </c>
      <c r="D687" s="21">
        <v>13</v>
      </c>
      <c r="E687" s="23">
        <v>13140</v>
      </c>
      <c r="G687" s="21" t="s">
        <v>310</v>
      </c>
    </row>
    <row r="688" spans="1:7" ht="14.4" hidden="1">
      <c r="A688" s="21"/>
      <c r="B688" s="22">
        <v>535</v>
      </c>
      <c r="C688" s="21" t="s">
        <v>1189</v>
      </c>
      <c r="D688" s="21">
        <v>13</v>
      </c>
      <c r="E688" s="23">
        <v>13140</v>
      </c>
      <c r="G688" s="21" t="s">
        <v>274</v>
      </c>
    </row>
    <row r="689" spans="1:7" ht="14.4" hidden="1">
      <c r="A689" s="21"/>
      <c r="B689" s="22">
        <v>537</v>
      </c>
      <c r="C689" s="21" t="s">
        <v>1190</v>
      </c>
      <c r="D689" s="21">
        <v>13</v>
      </c>
      <c r="E689" s="23">
        <v>13140</v>
      </c>
      <c r="G689" s="21" t="s">
        <v>274</v>
      </c>
    </row>
    <row r="690" spans="1:7" ht="14.4" hidden="1">
      <c r="A690" s="21"/>
      <c r="B690" s="21" t="s">
        <v>298</v>
      </c>
      <c r="C690" s="21" t="s">
        <v>1191</v>
      </c>
      <c r="D690" s="21">
        <v>13</v>
      </c>
      <c r="E690" s="23">
        <v>13140</v>
      </c>
      <c r="G690" s="21" t="s">
        <v>310</v>
      </c>
    </row>
    <row r="691" spans="1:7" ht="14.4" hidden="1">
      <c r="A691" s="21"/>
      <c r="B691" s="21" t="s">
        <v>298</v>
      </c>
      <c r="C691" s="21" t="s">
        <v>1192</v>
      </c>
      <c r="D691" s="21">
        <v>13</v>
      </c>
      <c r="E691" s="23">
        <v>13140</v>
      </c>
      <c r="G691" s="21" t="s">
        <v>310</v>
      </c>
    </row>
    <row r="692" spans="1:7" ht="14.4" hidden="1">
      <c r="A692" s="21"/>
      <c r="B692" s="21" t="s">
        <v>298</v>
      </c>
      <c r="C692" s="21" t="s">
        <v>1193</v>
      </c>
      <c r="D692" s="21">
        <v>13</v>
      </c>
      <c r="E692" s="23">
        <v>13140</v>
      </c>
      <c r="G692" s="21" t="s">
        <v>310</v>
      </c>
    </row>
    <row r="693" spans="1:7" ht="14.4" hidden="1">
      <c r="A693" s="21"/>
      <c r="B693" s="21" t="s">
        <v>298</v>
      </c>
      <c r="C693" s="21" t="s">
        <v>1194</v>
      </c>
      <c r="D693" s="21">
        <v>13</v>
      </c>
      <c r="E693" s="23">
        <v>13140</v>
      </c>
      <c r="G693" s="21" t="s">
        <v>752</v>
      </c>
    </row>
    <row r="694" spans="1:7" ht="14.4" hidden="1">
      <c r="A694" s="21"/>
      <c r="B694" s="21" t="s">
        <v>298</v>
      </c>
      <c r="C694" s="21" t="s">
        <v>1195</v>
      </c>
      <c r="D694" s="21">
        <v>13</v>
      </c>
      <c r="E694" s="23">
        <v>13140</v>
      </c>
      <c r="G694" s="21" t="s">
        <v>287</v>
      </c>
    </row>
    <row r="695" spans="1:7" ht="14.4" hidden="1">
      <c r="A695" s="21"/>
      <c r="B695" s="21" t="s">
        <v>278</v>
      </c>
      <c r="C695" s="21" t="s">
        <v>1196</v>
      </c>
      <c r="D695" s="21">
        <v>13</v>
      </c>
      <c r="E695" s="23">
        <v>13140</v>
      </c>
      <c r="G695" s="21" t="s">
        <v>287</v>
      </c>
    </row>
    <row r="696" spans="1:7" ht="14.4" hidden="1">
      <c r="A696" s="21"/>
      <c r="B696" s="22">
        <v>538</v>
      </c>
      <c r="C696" s="21" t="s">
        <v>1197</v>
      </c>
      <c r="D696" s="21">
        <v>13</v>
      </c>
      <c r="E696" s="23">
        <v>13139</v>
      </c>
      <c r="G696" s="21" t="s">
        <v>274</v>
      </c>
    </row>
    <row r="697" spans="1:7" ht="14.4" hidden="1">
      <c r="A697" s="21"/>
      <c r="B697" s="22">
        <v>539</v>
      </c>
      <c r="C697" s="21" t="s">
        <v>1198</v>
      </c>
      <c r="D697" s="21">
        <v>13</v>
      </c>
      <c r="E697" s="23">
        <v>13139</v>
      </c>
      <c r="G697" s="21" t="s">
        <v>310</v>
      </c>
    </row>
    <row r="698" spans="1:7" ht="14.4" hidden="1">
      <c r="A698" s="21"/>
      <c r="B698" s="22">
        <v>540</v>
      </c>
      <c r="C698" s="21" t="s">
        <v>1199</v>
      </c>
      <c r="D698" s="21">
        <v>13</v>
      </c>
      <c r="E698" s="23">
        <v>13138</v>
      </c>
      <c r="G698" s="21" t="s">
        <v>287</v>
      </c>
    </row>
    <row r="699" spans="1:7" ht="14.4" hidden="1">
      <c r="A699" s="21"/>
      <c r="B699" s="22">
        <v>541</v>
      </c>
      <c r="C699" s="21" t="s">
        <v>1200</v>
      </c>
      <c r="D699" s="21">
        <v>13</v>
      </c>
      <c r="E699" s="23">
        <v>13136</v>
      </c>
      <c r="G699" s="21" t="s">
        <v>310</v>
      </c>
    </row>
    <row r="700" spans="1:7" ht="14.4" hidden="1">
      <c r="A700" s="21"/>
      <c r="B700" s="22">
        <v>542</v>
      </c>
      <c r="C700" s="21" t="s">
        <v>1201</v>
      </c>
      <c r="D700" s="21">
        <v>13</v>
      </c>
      <c r="E700" s="23">
        <v>13135</v>
      </c>
      <c r="G700" s="21" t="s">
        <v>282</v>
      </c>
    </row>
    <row r="701" spans="1:7" ht="14.4" hidden="1">
      <c r="A701" s="21"/>
      <c r="B701" s="22">
        <v>543</v>
      </c>
      <c r="C701" s="21" t="s">
        <v>1202</v>
      </c>
      <c r="D701" s="21">
        <v>13</v>
      </c>
      <c r="E701" s="23">
        <v>13134</v>
      </c>
      <c r="G701" s="21" t="s">
        <v>310</v>
      </c>
    </row>
    <row r="702" spans="1:7" ht="14.4" hidden="1">
      <c r="A702" s="21"/>
      <c r="B702" s="21" t="s">
        <v>298</v>
      </c>
      <c r="C702" s="21" t="s">
        <v>1203</v>
      </c>
      <c r="D702" s="21">
        <v>13</v>
      </c>
      <c r="E702" s="23">
        <v>13134</v>
      </c>
      <c r="G702" s="21" t="s">
        <v>287</v>
      </c>
    </row>
    <row r="703" spans="1:7" ht="14.4" hidden="1">
      <c r="A703" s="21"/>
      <c r="B703" s="22">
        <v>544</v>
      </c>
      <c r="C703" s="21" t="s">
        <v>1204</v>
      </c>
      <c r="D703" s="21">
        <v>13</v>
      </c>
      <c r="E703" s="23">
        <v>13132</v>
      </c>
      <c r="G703" s="21" t="s">
        <v>310</v>
      </c>
    </row>
    <row r="704" spans="1:7" ht="14.4" hidden="1">
      <c r="A704" s="21"/>
      <c r="B704" s="21" t="s">
        <v>298</v>
      </c>
      <c r="C704" s="21" t="s">
        <v>1205</v>
      </c>
      <c r="D704" s="21">
        <v>13</v>
      </c>
      <c r="E704" s="23">
        <v>13132</v>
      </c>
      <c r="G704" s="21" t="s">
        <v>274</v>
      </c>
    </row>
    <row r="705" spans="1:7" ht="14.4" hidden="1">
      <c r="A705" s="21"/>
      <c r="B705" s="22">
        <v>545</v>
      </c>
      <c r="C705" s="21" t="s">
        <v>1206</v>
      </c>
      <c r="D705" s="21">
        <v>13</v>
      </c>
      <c r="E705" s="23">
        <v>13130</v>
      </c>
      <c r="G705" s="21" t="s">
        <v>287</v>
      </c>
    </row>
    <row r="706" spans="1:7" ht="14.4" hidden="1">
      <c r="A706" s="21"/>
      <c r="B706" s="21" t="s">
        <v>278</v>
      </c>
      <c r="C706" s="21" t="s">
        <v>1207</v>
      </c>
      <c r="D706" s="21">
        <v>13</v>
      </c>
      <c r="E706" s="23">
        <v>13130</v>
      </c>
      <c r="G706" s="21" t="s">
        <v>752</v>
      </c>
    </row>
    <row r="707" spans="1:7" ht="14.4" hidden="1">
      <c r="A707" s="21"/>
      <c r="B707" s="21" t="s">
        <v>298</v>
      </c>
      <c r="C707" s="21" t="s">
        <v>1208</v>
      </c>
      <c r="D707" s="21">
        <v>13</v>
      </c>
      <c r="E707" s="23">
        <v>13129</v>
      </c>
      <c r="G707" s="21" t="s">
        <v>752</v>
      </c>
    </row>
    <row r="708" spans="1:7" ht="14.4" hidden="1">
      <c r="A708" s="21"/>
      <c r="B708" s="22">
        <v>546</v>
      </c>
      <c r="C708" s="21" t="s">
        <v>1209</v>
      </c>
      <c r="D708" s="21">
        <v>13</v>
      </c>
      <c r="E708" s="23">
        <v>13128</v>
      </c>
      <c r="G708" s="21" t="s">
        <v>282</v>
      </c>
    </row>
    <row r="709" spans="1:7" ht="14.4" hidden="1">
      <c r="A709" s="21"/>
      <c r="B709" s="22">
        <v>547</v>
      </c>
      <c r="C709" s="21" t="s">
        <v>1210</v>
      </c>
      <c r="D709" s="21">
        <v>13</v>
      </c>
      <c r="E709" s="23">
        <v>13126</v>
      </c>
      <c r="G709" s="21" t="s">
        <v>274</v>
      </c>
    </row>
    <row r="710" spans="1:7" ht="14.4" hidden="1">
      <c r="A710" s="21"/>
      <c r="B710" s="21" t="s">
        <v>298</v>
      </c>
      <c r="C710" s="21" t="s">
        <v>1211</v>
      </c>
      <c r="D710" s="21">
        <v>13</v>
      </c>
      <c r="E710" s="23">
        <v>13125</v>
      </c>
      <c r="G710" s="21" t="s">
        <v>310</v>
      </c>
    </row>
    <row r="711" spans="1:7" ht="14.4" hidden="1">
      <c r="A711" s="21"/>
      <c r="B711" s="22">
        <v>548</v>
      </c>
      <c r="C711" s="21" t="s">
        <v>1212</v>
      </c>
      <c r="D711" s="21">
        <v>13</v>
      </c>
      <c r="E711" s="23">
        <v>13123</v>
      </c>
      <c r="G711" s="21" t="s">
        <v>310</v>
      </c>
    </row>
    <row r="712" spans="1:7" ht="14.4" hidden="1">
      <c r="A712" s="21"/>
      <c r="B712" s="22">
        <v>549</v>
      </c>
      <c r="C712" s="21" t="s">
        <v>1213</v>
      </c>
      <c r="D712" s="21">
        <v>13</v>
      </c>
      <c r="E712" s="23">
        <v>13123</v>
      </c>
      <c r="G712" s="21" t="s">
        <v>282</v>
      </c>
    </row>
    <row r="713" spans="1:7" ht="14.4" hidden="1">
      <c r="A713" s="21"/>
      <c r="B713" s="21" t="s">
        <v>298</v>
      </c>
      <c r="C713" s="21" t="s">
        <v>1214</v>
      </c>
      <c r="D713" s="21">
        <v>13</v>
      </c>
      <c r="E713" s="23">
        <v>13123</v>
      </c>
      <c r="G713" s="21" t="s">
        <v>310</v>
      </c>
    </row>
    <row r="714" spans="1:7" ht="14.4" hidden="1">
      <c r="A714" s="21"/>
      <c r="B714" s="22">
        <v>550</v>
      </c>
      <c r="C714" s="21" t="s">
        <v>1215</v>
      </c>
      <c r="D714" s="21">
        <v>13</v>
      </c>
      <c r="E714" s="23">
        <v>13122</v>
      </c>
      <c r="G714" s="21" t="s">
        <v>310</v>
      </c>
    </row>
    <row r="715" spans="1:7" ht="14.4" hidden="1">
      <c r="A715" s="21"/>
      <c r="B715" s="22">
        <v>551</v>
      </c>
      <c r="C715" s="21" t="s">
        <v>1216</v>
      </c>
      <c r="D715" s="21">
        <v>13</v>
      </c>
      <c r="E715" s="23">
        <v>13122</v>
      </c>
      <c r="G715" s="21" t="s">
        <v>282</v>
      </c>
    </row>
    <row r="716" spans="1:7" ht="14.4" hidden="1">
      <c r="A716" s="21"/>
      <c r="B716" s="22">
        <v>552</v>
      </c>
      <c r="C716" s="21" t="s">
        <v>1217</v>
      </c>
      <c r="D716" s="21">
        <v>13</v>
      </c>
      <c r="E716" s="23">
        <v>13121</v>
      </c>
      <c r="G716" s="21" t="s">
        <v>752</v>
      </c>
    </row>
    <row r="717" spans="1:7" ht="14.4" hidden="1">
      <c r="A717" s="21"/>
      <c r="B717" s="22">
        <v>553</v>
      </c>
      <c r="C717" s="21" t="s">
        <v>1218</v>
      </c>
      <c r="D717" s="21">
        <v>13</v>
      </c>
      <c r="E717" s="23">
        <v>13121</v>
      </c>
      <c r="G717" s="21" t="s">
        <v>310</v>
      </c>
    </row>
    <row r="718" spans="1:7" ht="14.4" hidden="1">
      <c r="A718" s="21"/>
      <c r="B718" s="22">
        <v>554</v>
      </c>
      <c r="C718" s="21" t="s">
        <v>1219</v>
      </c>
      <c r="D718" s="21">
        <v>13</v>
      </c>
      <c r="E718" s="23">
        <v>13118</v>
      </c>
      <c r="G718" s="21" t="s">
        <v>287</v>
      </c>
    </row>
    <row r="719" spans="1:7" ht="14.4" hidden="1">
      <c r="A719" s="21"/>
      <c r="B719" s="22">
        <v>555</v>
      </c>
      <c r="C719" s="21" t="s">
        <v>1220</v>
      </c>
      <c r="D719" s="21">
        <v>13</v>
      </c>
      <c r="E719" s="23">
        <v>13117</v>
      </c>
      <c r="G719" s="21" t="s">
        <v>287</v>
      </c>
    </row>
    <row r="720" spans="1:7" ht="14.4" hidden="1">
      <c r="A720" s="21"/>
      <c r="B720" s="22">
        <v>556</v>
      </c>
      <c r="C720" s="21" t="s">
        <v>1221</v>
      </c>
      <c r="D720" s="21">
        <v>13</v>
      </c>
      <c r="E720" s="23">
        <v>13113</v>
      </c>
      <c r="G720" s="21" t="s">
        <v>310</v>
      </c>
    </row>
    <row r="721" spans="1:7" ht="14.4" hidden="1">
      <c r="A721" s="21"/>
      <c r="B721" s="22">
        <v>557</v>
      </c>
      <c r="C721" s="21" t="s">
        <v>1222</v>
      </c>
      <c r="D721" s="21">
        <v>13</v>
      </c>
      <c r="E721" s="23">
        <v>13112</v>
      </c>
      <c r="G721" s="21" t="s">
        <v>274</v>
      </c>
    </row>
    <row r="722" spans="1:7" ht="14.4" hidden="1">
      <c r="A722" s="21"/>
      <c r="B722" s="22">
        <v>558</v>
      </c>
      <c r="C722" s="21" t="s">
        <v>1223</v>
      </c>
      <c r="D722" s="21">
        <v>13</v>
      </c>
      <c r="E722" s="23">
        <v>13111</v>
      </c>
      <c r="G722" s="21" t="s">
        <v>310</v>
      </c>
    </row>
    <row r="723" spans="1:7" ht="14.4" hidden="1">
      <c r="A723" s="21"/>
      <c r="B723" s="22">
        <v>559</v>
      </c>
      <c r="C723" s="21" t="s">
        <v>1224</v>
      </c>
      <c r="D723" s="21">
        <v>13</v>
      </c>
      <c r="E723" s="23">
        <v>13111</v>
      </c>
      <c r="G723" s="21" t="s">
        <v>310</v>
      </c>
    </row>
    <row r="724" spans="1:7" ht="14.4" hidden="1">
      <c r="A724" s="21"/>
      <c r="B724" s="22">
        <v>560</v>
      </c>
      <c r="C724" s="21" t="s">
        <v>1225</v>
      </c>
      <c r="D724" s="21">
        <v>13</v>
      </c>
      <c r="E724" s="23">
        <v>13111</v>
      </c>
      <c r="G724" s="21" t="s">
        <v>274</v>
      </c>
    </row>
    <row r="725" spans="1:7" ht="14.4" hidden="1">
      <c r="A725" s="21"/>
      <c r="B725" s="22">
        <v>561</v>
      </c>
      <c r="C725" s="21" t="s">
        <v>1226</v>
      </c>
      <c r="D725" s="21">
        <v>13</v>
      </c>
      <c r="E725" s="23">
        <v>13110</v>
      </c>
      <c r="G725" s="21" t="s">
        <v>310</v>
      </c>
    </row>
    <row r="726" spans="1:7" ht="14.4" hidden="1">
      <c r="A726" s="21"/>
      <c r="B726" s="22">
        <v>562</v>
      </c>
      <c r="C726" s="21" t="s">
        <v>1227</v>
      </c>
      <c r="D726" s="21">
        <v>13</v>
      </c>
      <c r="E726" s="23">
        <v>13109</v>
      </c>
      <c r="G726" s="21" t="s">
        <v>310</v>
      </c>
    </row>
    <row r="727" spans="1:7" ht="14.4" hidden="1">
      <c r="A727" s="21"/>
      <c r="B727" s="22">
        <v>563</v>
      </c>
      <c r="C727" s="21" t="s">
        <v>1228</v>
      </c>
      <c r="D727" s="21">
        <v>13</v>
      </c>
      <c r="E727" s="23">
        <v>13108</v>
      </c>
      <c r="G727" s="21" t="s">
        <v>274</v>
      </c>
    </row>
    <row r="728" spans="1:7" ht="14.4" hidden="1">
      <c r="A728" s="21"/>
      <c r="B728" s="21" t="s">
        <v>298</v>
      </c>
      <c r="C728" s="21" t="s">
        <v>1229</v>
      </c>
      <c r="D728" s="21">
        <v>13</v>
      </c>
      <c r="E728" s="23">
        <v>13108</v>
      </c>
      <c r="G728" s="21" t="s">
        <v>310</v>
      </c>
    </row>
    <row r="729" spans="1:7" ht="14.4" hidden="1">
      <c r="A729" s="21"/>
      <c r="B729" s="22">
        <v>564</v>
      </c>
      <c r="C729" s="21" t="s">
        <v>1230</v>
      </c>
      <c r="D729" s="21">
        <v>13</v>
      </c>
      <c r="E729" s="23">
        <v>13106</v>
      </c>
      <c r="G729" s="21" t="s">
        <v>310</v>
      </c>
    </row>
    <row r="730" spans="1:7" ht="14.4" hidden="1">
      <c r="A730" s="21"/>
      <c r="B730" s="22">
        <v>565</v>
      </c>
      <c r="C730" s="21" t="s">
        <v>1231</v>
      </c>
      <c r="D730" s="21">
        <v>13</v>
      </c>
      <c r="E730" s="23">
        <v>13105</v>
      </c>
      <c r="G730" s="21" t="s">
        <v>282</v>
      </c>
    </row>
    <row r="731" spans="1:7" ht="14.4" hidden="1">
      <c r="A731" s="21"/>
      <c r="B731" s="22">
        <v>566</v>
      </c>
      <c r="C731" s="21" t="s">
        <v>1232</v>
      </c>
      <c r="D731" s="21">
        <v>13</v>
      </c>
      <c r="E731" s="23">
        <v>13105</v>
      </c>
      <c r="G731" s="21" t="s">
        <v>310</v>
      </c>
    </row>
    <row r="732" spans="1:7" ht="14.4" hidden="1">
      <c r="A732" s="21"/>
      <c r="B732" s="22">
        <v>567</v>
      </c>
      <c r="C732" s="21" t="s">
        <v>1233</v>
      </c>
      <c r="D732" s="21">
        <v>13</v>
      </c>
      <c r="E732" s="23">
        <v>13100</v>
      </c>
      <c r="G732" s="21" t="s">
        <v>274</v>
      </c>
    </row>
    <row r="733" spans="1:7" ht="14.4" hidden="1">
      <c r="A733" s="21"/>
      <c r="B733" s="22">
        <v>568</v>
      </c>
      <c r="C733" s="21" t="s">
        <v>1234</v>
      </c>
      <c r="D733" s="21">
        <v>13</v>
      </c>
      <c r="E733" s="23">
        <v>13100</v>
      </c>
      <c r="G733" s="21" t="s">
        <v>274</v>
      </c>
    </row>
    <row r="734" spans="1:7" ht="14.4" hidden="1">
      <c r="A734" s="21"/>
      <c r="B734" s="22">
        <v>569</v>
      </c>
      <c r="C734" s="21" t="s">
        <v>1235</v>
      </c>
      <c r="D734" s="21">
        <v>13</v>
      </c>
      <c r="E734" s="23">
        <v>13100</v>
      </c>
      <c r="G734" s="21" t="s">
        <v>310</v>
      </c>
    </row>
    <row r="735" spans="1:7" ht="14.4" hidden="1">
      <c r="A735" s="21"/>
      <c r="B735" s="22">
        <v>570</v>
      </c>
      <c r="C735" s="21" t="s">
        <v>1236</v>
      </c>
      <c r="D735" s="21">
        <v>13</v>
      </c>
      <c r="E735" s="23">
        <v>13100</v>
      </c>
      <c r="G735" s="21" t="s">
        <v>310</v>
      </c>
    </row>
    <row r="736" spans="1:7" ht="14.4" hidden="1">
      <c r="A736" s="21"/>
      <c r="B736" s="22">
        <v>571</v>
      </c>
      <c r="C736" s="21" t="s">
        <v>1237</v>
      </c>
      <c r="D736" s="21">
        <v>13</v>
      </c>
      <c r="E736" s="23">
        <v>13100</v>
      </c>
      <c r="G736" s="21" t="s">
        <v>310</v>
      </c>
    </row>
    <row r="737" spans="1:7" ht="14.4" hidden="1">
      <c r="A737" s="21"/>
      <c r="B737" s="21" t="s">
        <v>298</v>
      </c>
      <c r="C737" s="21" t="s">
        <v>1238</v>
      </c>
      <c r="D737" s="21">
        <v>13</v>
      </c>
      <c r="E737" s="23">
        <v>13100</v>
      </c>
      <c r="G737" s="21" t="s">
        <v>282</v>
      </c>
    </row>
    <row r="738" spans="1:7" ht="14.4" hidden="1">
      <c r="A738" s="21"/>
      <c r="B738" s="21" t="s">
        <v>298</v>
      </c>
      <c r="C738" s="21" t="s">
        <v>1239</v>
      </c>
      <c r="D738" s="21">
        <v>13</v>
      </c>
      <c r="E738" s="23">
        <v>13100</v>
      </c>
      <c r="G738" s="21" t="s">
        <v>310</v>
      </c>
    </row>
    <row r="739" spans="1:7" ht="14.4" hidden="1">
      <c r="A739" s="21"/>
      <c r="B739" s="21" t="s">
        <v>278</v>
      </c>
      <c r="C739" s="21" t="s">
        <v>1240</v>
      </c>
      <c r="D739" s="21">
        <v>13</v>
      </c>
      <c r="E739" s="23">
        <v>13100</v>
      </c>
      <c r="G739" s="21" t="s">
        <v>752</v>
      </c>
    </row>
    <row r="740" spans="1:7" ht="14.4" hidden="1">
      <c r="A740" s="21"/>
      <c r="B740" s="21" t="s">
        <v>278</v>
      </c>
      <c r="C740" s="21" t="s">
        <v>1241</v>
      </c>
      <c r="D740" s="21">
        <v>13</v>
      </c>
      <c r="E740" s="23">
        <v>13100</v>
      </c>
      <c r="G740" s="21" t="s">
        <v>752</v>
      </c>
    </row>
    <row r="741" spans="1:7" ht="14.4" hidden="1">
      <c r="A741" s="21"/>
      <c r="B741" s="21" t="s">
        <v>278</v>
      </c>
      <c r="C741" s="21" t="s">
        <v>1242</v>
      </c>
      <c r="D741" s="21">
        <v>13</v>
      </c>
      <c r="E741" s="23">
        <v>13100</v>
      </c>
      <c r="G741" s="21" t="s">
        <v>282</v>
      </c>
    </row>
    <row r="742" spans="1:7" ht="14.4" hidden="1">
      <c r="A742" s="21"/>
      <c r="B742" s="21" t="s">
        <v>278</v>
      </c>
      <c r="C742" s="21" t="s">
        <v>1243</v>
      </c>
      <c r="D742" s="21">
        <v>13</v>
      </c>
      <c r="E742" s="23">
        <v>13100</v>
      </c>
      <c r="G742" s="21" t="s">
        <v>752</v>
      </c>
    </row>
    <row r="743" spans="1:7" ht="14.4" hidden="1">
      <c r="A743" s="21"/>
      <c r="B743" s="22">
        <v>572</v>
      </c>
      <c r="C743" s="21" t="s">
        <v>1244</v>
      </c>
      <c r="D743" s="21">
        <v>13</v>
      </c>
      <c r="E743" s="23">
        <v>13095</v>
      </c>
      <c r="G743" s="21" t="s">
        <v>274</v>
      </c>
    </row>
    <row r="744" spans="1:7" ht="14.4" hidden="1">
      <c r="A744" s="21"/>
      <c r="B744" s="22">
        <v>573</v>
      </c>
      <c r="C744" s="21" t="s">
        <v>1245</v>
      </c>
      <c r="D744" s="21">
        <v>13</v>
      </c>
      <c r="E744" s="23">
        <v>13095</v>
      </c>
      <c r="G744" s="21" t="s">
        <v>310</v>
      </c>
    </row>
    <row r="745" spans="1:7" ht="14.4" hidden="1">
      <c r="A745" s="21"/>
      <c r="B745" s="22">
        <v>574</v>
      </c>
      <c r="C745" s="21" t="s">
        <v>1246</v>
      </c>
      <c r="D745" s="21">
        <v>13</v>
      </c>
      <c r="E745" s="23">
        <v>13093</v>
      </c>
      <c r="G745" s="21" t="s">
        <v>310</v>
      </c>
    </row>
    <row r="746" spans="1:7" ht="14.4" hidden="1">
      <c r="A746" s="21"/>
      <c r="B746" s="22">
        <v>575</v>
      </c>
      <c r="C746" s="21" t="s">
        <v>1247</v>
      </c>
      <c r="D746" s="21">
        <v>13</v>
      </c>
      <c r="E746" s="23">
        <v>13091</v>
      </c>
      <c r="G746" s="21" t="s">
        <v>310</v>
      </c>
    </row>
    <row r="747" spans="1:7" ht="14.4" hidden="1">
      <c r="A747" s="21"/>
      <c r="B747" s="22">
        <v>576</v>
      </c>
      <c r="C747" s="21" t="s">
        <v>1248</v>
      </c>
      <c r="D747" s="21">
        <v>13</v>
      </c>
      <c r="E747" s="23">
        <v>13090</v>
      </c>
      <c r="G747" s="21" t="s">
        <v>752</v>
      </c>
    </row>
    <row r="748" spans="1:7" ht="14.4" hidden="1">
      <c r="A748" s="21"/>
      <c r="B748" s="22">
        <v>577</v>
      </c>
      <c r="C748" s="21" t="s">
        <v>1249</v>
      </c>
      <c r="D748" s="21">
        <v>13</v>
      </c>
      <c r="E748" s="23">
        <v>13090</v>
      </c>
      <c r="G748" s="21" t="s">
        <v>274</v>
      </c>
    </row>
    <row r="749" spans="1:7" ht="14.4" hidden="1">
      <c r="A749" s="21"/>
      <c r="B749" s="22">
        <v>578</v>
      </c>
      <c r="C749" s="21" t="s">
        <v>1250</v>
      </c>
      <c r="D749" s="21">
        <v>13</v>
      </c>
      <c r="E749" s="23">
        <v>13088</v>
      </c>
      <c r="G749" s="21" t="s">
        <v>287</v>
      </c>
    </row>
    <row r="750" spans="1:7" ht="14.4" hidden="1">
      <c r="A750" s="21"/>
      <c r="B750" s="22">
        <v>579</v>
      </c>
      <c r="C750" s="21" t="s">
        <v>1251</v>
      </c>
      <c r="D750" s="21">
        <v>13</v>
      </c>
      <c r="E750" s="23">
        <v>13088</v>
      </c>
      <c r="G750" s="21" t="s">
        <v>274</v>
      </c>
    </row>
    <row r="751" spans="1:7" ht="14.4" hidden="1">
      <c r="A751" s="21"/>
      <c r="B751" s="21" t="s">
        <v>298</v>
      </c>
      <c r="C751" s="21" t="s">
        <v>1252</v>
      </c>
      <c r="D751" s="21">
        <v>13</v>
      </c>
      <c r="E751" s="23">
        <v>13087</v>
      </c>
      <c r="G751" s="21" t="s">
        <v>310</v>
      </c>
    </row>
    <row r="752" spans="1:7" ht="14.4" hidden="1">
      <c r="A752" s="21"/>
      <c r="B752" s="22">
        <v>580</v>
      </c>
      <c r="C752" s="21" t="s">
        <v>1253</v>
      </c>
      <c r="D752" s="21">
        <v>13</v>
      </c>
      <c r="E752" s="23">
        <v>13085</v>
      </c>
      <c r="G752" s="21" t="s">
        <v>752</v>
      </c>
    </row>
    <row r="753" spans="1:7" ht="14.4" hidden="1">
      <c r="A753" s="21"/>
      <c r="B753" s="22">
        <v>581</v>
      </c>
      <c r="C753" s="21" t="s">
        <v>1254</v>
      </c>
      <c r="D753" s="21">
        <v>13</v>
      </c>
      <c r="E753" s="23">
        <v>13085</v>
      </c>
      <c r="G753" s="21" t="s">
        <v>274</v>
      </c>
    </row>
    <row r="754" spans="1:7" ht="14.4" hidden="1">
      <c r="A754" s="21"/>
      <c r="B754" s="22">
        <v>582</v>
      </c>
      <c r="C754" s="21" t="s">
        <v>1255</v>
      </c>
      <c r="D754" s="21">
        <v>13</v>
      </c>
      <c r="E754" s="23">
        <v>13085</v>
      </c>
      <c r="G754" s="21" t="s">
        <v>752</v>
      </c>
    </row>
    <row r="755" spans="1:7" ht="14.4" hidden="1">
      <c r="A755" s="21"/>
      <c r="B755" s="21" t="s">
        <v>278</v>
      </c>
      <c r="C755" s="21" t="s">
        <v>1256</v>
      </c>
      <c r="D755" s="21">
        <v>13</v>
      </c>
      <c r="E755" s="23">
        <v>13085</v>
      </c>
      <c r="G755" s="21" t="s">
        <v>310</v>
      </c>
    </row>
    <row r="756" spans="1:7" ht="14.4" hidden="1">
      <c r="A756" s="21"/>
      <c r="B756" s="22">
        <v>583</v>
      </c>
      <c r="C756" s="21" t="s">
        <v>1257</v>
      </c>
      <c r="D756" s="21">
        <v>13</v>
      </c>
      <c r="E756" s="23">
        <v>13082</v>
      </c>
      <c r="G756" s="21" t="s">
        <v>287</v>
      </c>
    </row>
    <row r="757" spans="1:7" ht="14.4" hidden="1">
      <c r="A757" s="21"/>
      <c r="B757" s="22">
        <v>584</v>
      </c>
      <c r="C757" s="21" t="s">
        <v>1258</v>
      </c>
      <c r="D757" s="21">
        <v>13</v>
      </c>
      <c r="E757" s="23">
        <v>13081</v>
      </c>
      <c r="G757" s="21" t="s">
        <v>282</v>
      </c>
    </row>
    <row r="758" spans="1:7" ht="14.4" hidden="1">
      <c r="A758" s="21"/>
      <c r="B758" s="22">
        <v>585</v>
      </c>
      <c r="C758" s="21" t="s">
        <v>1259</v>
      </c>
      <c r="D758" s="21">
        <v>13</v>
      </c>
      <c r="E758" s="23">
        <v>13079</v>
      </c>
      <c r="G758" s="21" t="s">
        <v>752</v>
      </c>
    </row>
    <row r="759" spans="1:7" ht="14.4" hidden="1">
      <c r="A759" s="21"/>
      <c r="B759" s="22">
        <v>586</v>
      </c>
      <c r="C759" s="21" t="s">
        <v>1260</v>
      </c>
      <c r="D759" s="21">
        <v>13</v>
      </c>
      <c r="E759" s="23">
        <v>13078</v>
      </c>
      <c r="G759" s="21" t="s">
        <v>287</v>
      </c>
    </row>
    <row r="760" spans="1:7" ht="14.4" hidden="1">
      <c r="A760" s="21"/>
      <c r="B760" s="22">
        <v>587</v>
      </c>
      <c r="C760" s="21" t="s">
        <v>1261</v>
      </c>
      <c r="D760" s="21">
        <v>13</v>
      </c>
      <c r="E760" s="23">
        <v>13078</v>
      </c>
      <c r="G760" s="21" t="s">
        <v>274</v>
      </c>
    </row>
    <row r="761" spans="1:7" ht="14.4" hidden="1">
      <c r="A761" s="21"/>
      <c r="B761" s="22">
        <v>588</v>
      </c>
      <c r="C761" s="21" t="s">
        <v>1262</v>
      </c>
      <c r="D761" s="21">
        <v>13</v>
      </c>
      <c r="E761" s="23">
        <v>13077</v>
      </c>
      <c r="G761" s="21" t="s">
        <v>310</v>
      </c>
    </row>
    <row r="762" spans="1:7" ht="14.4" hidden="1">
      <c r="A762" s="21"/>
      <c r="B762" s="21" t="s">
        <v>298</v>
      </c>
      <c r="C762" s="21" t="s">
        <v>1263</v>
      </c>
      <c r="D762" s="21">
        <v>13</v>
      </c>
      <c r="E762" s="23">
        <v>13077</v>
      </c>
      <c r="G762" s="21" t="s">
        <v>274</v>
      </c>
    </row>
    <row r="763" spans="1:7" ht="14.4" hidden="1">
      <c r="A763" s="21"/>
      <c r="B763" s="21" t="s">
        <v>298</v>
      </c>
      <c r="C763" s="21" t="s">
        <v>1264</v>
      </c>
      <c r="D763" s="21">
        <v>13</v>
      </c>
      <c r="E763" s="23">
        <v>13076</v>
      </c>
      <c r="G763" s="21" t="s">
        <v>310</v>
      </c>
    </row>
    <row r="764" spans="1:7" ht="14.4" hidden="1">
      <c r="A764" s="21"/>
      <c r="B764" s="22">
        <v>589</v>
      </c>
      <c r="C764" s="21" t="s">
        <v>1265</v>
      </c>
      <c r="D764" s="21">
        <v>13</v>
      </c>
      <c r="E764" s="23">
        <v>13075</v>
      </c>
      <c r="G764" s="21" t="s">
        <v>310</v>
      </c>
    </row>
    <row r="765" spans="1:7" ht="14.4" hidden="1">
      <c r="A765" s="21"/>
      <c r="B765" s="22">
        <v>590</v>
      </c>
      <c r="C765" s="21" t="s">
        <v>1266</v>
      </c>
      <c r="D765" s="21">
        <v>13</v>
      </c>
      <c r="E765" s="23">
        <v>13075</v>
      </c>
      <c r="G765" s="21" t="s">
        <v>310</v>
      </c>
    </row>
    <row r="766" spans="1:7" ht="14.4" hidden="1">
      <c r="A766" s="21"/>
      <c r="B766" s="22">
        <v>591</v>
      </c>
      <c r="C766" s="21" t="s">
        <v>1267</v>
      </c>
      <c r="D766" s="21">
        <v>13</v>
      </c>
      <c r="E766" s="23">
        <v>13074</v>
      </c>
      <c r="G766" s="21" t="s">
        <v>274</v>
      </c>
    </row>
    <row r="767" spans="1:7" ht="14.4" hidden="1">
      <c r="A767" s="21"/>
      <c r="B767" s="22">
        <v>592</v>
      </c>
      <c r="C767" s="21" t="s">
        <v>1268</v>
      </c>
      <c r="D767" s="21">
        <v>13</v>
      </c>
      <c r="E767" s="23">
        <v>13074</v>
      </c>
      <c r="G767" s="21" t="s">
        <v>310</v>
      </c>
    </row>
    <row r="768" spans="1:7" ht="14.4" hidden="1">
      <c r="A768" s="21"/>
      <c r="B768" s="22">
        <v>593</v>
      </c>
      <c r="C768" s="21" t="s">
        <v>1269</v>
      </c>
      <c r="D768" s="21">
        <v>13</v>
      </c>
      <c r="E768" s="23">
        <v>13073</v>
      </c>
      <c r="G768" s="21" t="s">
        <v>310</v>
      </c>
    </row>
    <row r="769" spans="1:7" ht="14.4" hidden="1">
      <c r="A769" s="21"/>
      <c r="B769" s="22">
        <v>594</v>
      </c>
      <c r="C769" s="21" t="s">
        <v>1270</v>
      </c>
      <c r="D769" s="21">
        <v>13</v>
      </c>
      <c r="E769" s="23">
        <v>13071</v>
      </c>
      <c r="G769" s="21" t="s">
        <v>282</v>
      </c>
    </row>
    <row r="770" spans="1:7" ht="14.4" hidden="1">
      <c r="A770" s="21"/>
      <c r="B770" s="22">
        <v>595</v>
      </c>
      <c r="C770" s="21" t="s">
        <v>1271</v>
      </c>
      <c r="D770" s="21">
        <v>13</v>
      </c>
      <c r="E770" s="23">
        <v>13070</v>
      </c>
      <c r="G770" s="21" t="s">
        <v>310</v>
      </c>
    </row>
    <row r="771" spans="1:7" ht="14.4" hidden="1">
      <c r="A771" s="21"/>
      <c r="B771" s="22">
        <v>596</v>
      </c>
      <c r="C771" s="21" t="s">
        <v>1272</v>
      </c>
      <c r="D771" s="21">
        <v>13</v>
      </c>
      <c r="E771" s="23">
        <v>13070</v>
      </c>
      <c r="G771" s="21" t="s">
        <v>274</v>
      </c>
    </row>
    <row r="772" spans="1:7" ht="14.4" hidden="1">
      <c r="A772" s="21"/>
      <c r="B772" s="21" t="s">
        <v>278</v>
      </c>
      <c r="C772" s="21" t="s">
        <v>1273</v>
      </c>
      <c r="D772" s="21">
        <v>13</v>
      </c>
      <c r="E772" s="23">
        <v>13070</v>
      </c>
      <c r="G772" s="21" t="s">
        <v>287</v>
      </c>
    </row>
    <row r="773" spans="1:7" ht="14.4" hidden="1">
      <c r="A773" s="21"/>
      <c r="B773" s="22">
        <v>597</v>
      </c>
      <c r="C773" s="21" t="s">
        <v>1274</v>
      </c>
      <c r="D773" s="21">
        <v>13</v>
      </c>
      <c r="E773" s="23">
        <v>13069</v>
      </c>
      <c r="G773" s="21" t="s">
        <v>310</v>
      </c>
    </row>
    <row r="774" spans="1:7" ht="14.4" hidden="1">
      <c r="A774" s="21"/>
      <c r="B774" s="21" t="s">
        <v>298</v>
      </c>
      <c r="C774" s="21" t="s">
        <v>1275</v>
      </c>
      <c r="D774" s="21">
        <v>13</v>
      </c>
      <c r="E774" s="23">
        <v>13069</v>
      </c>
      <c r="G774" s="21" t="s">
        <v>287</v>
      </c>
    </row>
    <row r="775" spans="1:7" ht="14.4" hidden="1">
      <c r="A775" s="21"/>
      <c r="B775" s="21" t="s">
        <v>298</v>
      </c>
      <c r="C775" s="21" t="s">
        <v>1276</v>
      </c>
      <c r="D775" s="21">
        <v>13</v>
      </c>
      <c r="E775" s="23">
        <v>13066</v>
      </c>
      <c r="G775" s="21" t="s">
        <v>310</v>
      </c>
    </row>
    <row r="776" spans="1:7" ht="14.4" hidden="1">
      <c r="A776" s="21"/>
      <c r="B776" s="22">
        <v>598</v>
      </c>
      <c r="C776" s="21" t="s">
        <v>1277</v>
      </c>
      <c r="D776" s="21">
        <v>13</v>
      </c>
      <c r="E776" s="23">
        <v>13062</v>
      </c>
      <c r="G776" s="21" t="s">
        <v>282</v>
      </c>
    </row>
    <row r="777" spans="1:7" ht="14.4" hidden="1">
      <c r="A777" s="21"/>
      <c r="B777" s="22">
        <v>599</v>
      </c>
      <c r="C777" s="21" t="s">
        <v>1278</v>
      </c>
      <c r="D777" s="21">
        <v>13</v>
      </c>
      <c r="E777" s="23">
        <v>13062</v>
      </c>
      <c r="G777" s="21" t="s">
        <v>337</v>
      </c>
    </row>
    <row r="778" spans="1:7" ht="14.4" hidden="1">
      <c r="A778" s="21"/>
      <c r="B778" s="22">
        <v>600</v>
      </c>
      <c r="C778" s="21" t="s">
        <v>1279</v>
      </c>
      <c r="D778" s="21">
        <v>13</v>
      </c>
      <c r="E778" s="23">
        <v>13062</v>
      </c>
      <c r="G778" s="21" t="s">
        <v>310</v>
      </c>
    </row>
    <row r="779" spans="1:7" ht="14.4" hidden="1">
      <c r="A779" s="21"/>
      <c r="B779" s="21" t="s">
        <v>298</v>
      </c>
      <c r="C779" s="21" t="s">
        <v>1280</v>
      </c>
      <c r="D779" s="21">
        <v>13</v>
      </c>
      <c r="E779" s="23">
        <v>13062</v>
      </c>
      <c r="G779" s="21" t="s">
        <v>310</v>
      </c>
    </row>
    <row r="780" spans="1:7" ht="14.4" hidden="1">
      <c r="A780" s="21"/>
      <c r="B780" s="22">
        <v>601</v>
      </c>
      <c r="C780" s="21" t="s">
        <v>1281</v>
      </c>
      <c r="D780" s="21">
        <v>13</v>
      </c>
      <c r="E780" s="23">
        <v>13060</v>
      </c>
      <c r="G780" s="21" t="s">
        <v>282</v>
      </c>
    </row>
    <row r="781" spans="1:7" ht="14.4" hidden="1">
      <c r="A781" s="21"/>
      <c r="B781" s="22">
        <v>602</v>
      </c>
      <c r="C781" s="21" t="s">
        <v>1282</v>
      </c>
      <c r="D781" s="21">
        <v>13</v>
      </c>
      <c r="E781" s="23">
        <v>13060</v>
      </c>
      <c r="G781" s="21" t="s">
        <v>337</v>
      </c>
    </row>
    <row r="782" spans="1:7" ht="14.4" hidden="1">
      <c r="A782" s="21"/>
      <c r="B782" s="21" t="s">
        <v>278</v>
      </c>
      <c r="C782" s="21" t="s">
        <v>1283</v>
      </c>
      <c r="D782" s="21">
        <v>13</v>
      </c>
      <c r="E782" s="23">
        <v>13060</v>
      </c>
      <c r="G782" s="21" t="s">
        <v>274</v>
      </c>
    </row>
    <row r="783" spans="1:7" ht="14.4" hidden="1">
      <c r="A783" s="21"/>
      <c r="B783" s="21" t="s">
        <v>298</v>
      </c>
      <c r="C783" s="21" t="s">
        <v>1284</v>
      </c>
      <c r="D783" s="21">
        <v>13</v>
      </c>
      <c r="E783" s="23">
        <v>13060</v>
      </c>
      <c r="G783" s="21" t="s">
        <v>310</v>
      </c>
    </row>
    <row r="784" spans="1:7" ht="14.4" hidden="1">
      <c r="A784" s="21"/>
      <c r="B784" s="21" t="s">
        <v>298</v>
      </c>
      <c r="C784" s="21" t="s">
        <v>1285</v>
      </c>
      <c r="D784" s="21">
        <v>13</v>
      </c>
      <c r="E784" s="23">
        <v>13060</v>
      </c>
      <c r="G784" s="21" t="s">
        <v>310</v>
      </c>
    </row>
    <row r="785" spans="1:7" ht="14.4" hidden="1">
      <c r="A785" s="21"/>
      <c r="B785" s="21" t="s">
        <v>298</v>
      </c>
      <c r="C785" s="21" t="s">
        <v>1286</v>
      </c>
      <c r="D785" s="21">
        <v>13</v>
      </c>
      <c r="E785" s="23">
        <v>13060</v>
      </c>
      <c r="G785" s="21" t="s">
        <v>310</v>
      </c>
    </row>
    <row r="786" spans="1:7" ht="14.4" hidden="1">
      <c r="A786" s="21"/>
      <c r="B786" s="21" t="s">
        <v>298</v>
      </c>
      <c r="C786" s="21" t="s">
        <v>1287</v>
      </c>
      <c r="D786" s="21">
        <v>13</v>
      </c>
      <c r="E786" s="23">
        <v>13060</v>
      </c>
      <c r="G786" s="21" t="s">
        <v>310</v>
      </c>
    </row>
    <row r="787" spans="1:7" ht="14.4" hidden="1">
      <c r="A787" s="21"/>
      <c r="B787" s="21" t="s">
        <v>298</v>
      </c>
      <c r="C787" s="21" t="s">
        <v>1288</v>
      </c>
      <c r="D787" s="21">
        <v>13</v>
      </c>
      <c r="E787" s="23">
        <v>13060</v>
      </c>
      <c r="G787" s="21" t="s">
        <v>274</v>
      </c>
    </row>
    <row r="788" spans="1:7" ht="14.4" hidden="1">
      <c r="A788" s="21"/>
      <c r="B788" s="21" t="s">
        <v>278</v>
      </c>
      <c r="C788" s="21" t="s">
        <v>1289</v>
      </c>
      <c r="D788" s="21">
        <v>13</v>
      </c>
      <c r="E788" s="23">
        <v>13060</v>
      </c>
      <c r="G788" s="21" t="s">
        <v>752</v>
      </c>
    </row>
    <row r="789" spans="1:7" ht="14.4" hidden="1">
      <c r="A789" s="21"/>
      <c r="B789" s="22">
        <v>603</v>
      </c>
      <c r="C789" s="21" t="s">
        <v>1290</v>
      </c>
      <c r="D789" s="21">
        <v>13</v>
      </c>
      <c r="E789" s="23">
        <v>13058</v>
      </c>
      <c r="G789" s="21" t="s">
        <v>337</v>
      </c>
    </row>
    <row r="790" spans="1:7" ht="14.4" hidden="1">
      <c r="A790" s="21"/>
      <c r="B790" s="22">
        <v>604</v>
      </c>
      <c r="C790" s="21" t="s">
        <v>1291</v>
      </c>
      <c r="D790" s="21">
        <v>13</v>
      </c>
      <c r="E790" s="23">
        <v>13057</v>
      </c>
      <c r="G790" s="21" t="s">
        <v>752</v>
      </c>
    </row>
    <row r="791" spans="1:7" ht="14.4" hidden="1">
      <c r="A791" s="21"/>
      <c r="B791" s="22">
        <v>605</v>
      </c>
      <c r="C791" s="21" t="s">
        <v>1292</v>
      </c>
      <c r="D791" s="21">
        <v>13</v>
      </c>
      <c r="E791" s="23">
        <v>13055</v>
      </c>
      <c r="G791" s="21" t="s">
        <v>274</v>
      </c>
    </row>
    <row r="792" spans="1:7" ht="14.4" hidden="1">
      <c r="A792" s="21"/>
      <c r="B792" s="22">
        <v>606</v>
      </c>
      <c r="C792" s="21" t="s">
        <v>1293</v>
      </c>
      <c r="D792" s="21">
        <v>13</v>
      </c>
      <c r="E792" s="23">
        <v>13054</v>
      </c>
      <c r="G792" s="21" t="s">
        <v>282</v>
      </c>
    </row>
    <row r="793" spans="1:7" ht="14.4" hidden="1">
      <c r="A793" s="21"/>
      <c r="B793" s="22">
        <v>607</v>
      </c>
      <c r="C793" s="21" t="s">
        <v>1294</v>
      </c>
      <c r="D793" s="21">
        <v>13</v>
      </c>
      <c r="E793" s="23">
        <v>13052</v>
      </c>
      <c r="G793" s="21" t="s">
        <v>310</v>
      </c>
    </row>
    <row r="794" spans="1:7" ht="14.4" hidden="1">
      <c r="A794" s="21"/>
      <c r="B794" s="22">
        <v>608</v>
      </c>
      <c r="C794" s="21" t="s">
        <v>1295</v>
      </c>
      <c r="D794" s="21">
        <v>13</v>
      </c>
      <c r="E794" s="23">
        <v>13051</v>
      </c>
      <c r="G794" s="21" t="s">
        <v>310</v>
      </c>
    </row>
    <row r="795" spans="1:7" ht="14.4" hidden="1">
      <c r="A795" s="21"/>
      <c r="B795" s="22">
        <v>609</v>
      </c>
      <c r="C795" s="21" t="s">
        <v>1296</v>
      </c>
      <c r="D795" s="21">
        <v>13</v>
      </c>
      <c r="E795" s="23">
        <v>13050</v>
      </c>
      <c r="G795" s="21" t="s">
        <v>274</v>
      </c>
    </row>
    <row r="796" spans="1:7" ht="14.4" hidden="1">
      <c r="A796" s="21"/>
      <c r="B796" s="22">
        <v>610</v>
      </c>
      <c r="C796" s="21" t="s">
        <v>1297</v>
      </c>
      <c r="D796" s="21">
        <v>13</v>
      </c>
      <c r="E796" s="23">
        <v>13050</v>
      </c>
      <c r="G796" s="21" t="s">
        <v>282</v>
      </c>
    </row>
    <row r="797" spans="1:7" ht="14.4" hidden="1">
      <c r="A797" s="21"/>
      <c r="B797" s="21" t="s">
        <v>298</v>
      </c>
      <c r="C797" s="21" t="s">
        <v>1298</v>
      </c>
      <c r="D797" s="21">
        <v>13</v>
      </c>
      <c r="E797" s="23">
        <v>13049</v>
      </c>
      <c r="G797" s="21" t="s">
        <v>310</v>
      </c>
    </row>
    <row r="798" spans="1:7" ht="14.4" hidden="1">
      <c r="A798" s="21"/>
      <c r="B798" s="21" t="s">
        <v>298</v>
      </c>
      <c r="C798" s="21" t="s">
        <v>1299</v>
      </c>
      <c r="D798" s="21">
        <v>13</v>
      </c>
      <c r="E798" s="23">
        <v>13047</v>
      </c>
      <c r="G798" s="21" t="s">
        <v>300</v>
      </c>
    </row>
    <row r="799" spans="1:7" ht="14.4" hidden="1">
      <c r="A799" s="21"/>
      <c r="B799" s="21" t="s">
        <v>278</v>
      </c>
      <c r="C799" s="21" t="s">
        <v>1300</v>
      </c>
      <c r="D799" s="21">
        <v>13</v>
      </c>
      <c r="E799" s="23">
        <v>13047</v>
      </c>
      <c r="G799" s="21" t="s">
        <v>752</v>
      </c>
    </row>
    <row r="800" spans="1:7" ht="14.4" hidden="1">
      <c r="A800" s="21"/>
      <c r="B800" s="22">
        <v>611</v>
      </c>
      <c r="C800" s="21" t="s">
        <v>1301</v>
      </c>
      <c r="D800" s="21">
        <v>13</v>
      </c>
      <c r="E800" s="23">
        <v>13046</v>
      </c>
      <c r="G800" s="21" t="s">
        <v>310</v>
      </c>
    </row>
    <row r="801" spans="1:7" ht="14.4" hidden="1">
      <c r="A801" s="21"/>
      <c r="B801" s="21" t="s">
        <v>298</v>
      </c>
      <c r="C801" s="21" t="s">
        <v>1302</v>
      </c>
      <c r="D801" s="21">
        <v>13</v>
      </c>
      <c r="E801" s="23">
        <v>13043</v>
      </c>
      <c r="G801" s="21" t="s">
        <v>274</v>
      </c>
    </row>
    <row r="802" spans="1:7" ht="14.4" hidden="1">
      <c r="A802" s="21"/>
      <c r="B802" s="22">
        <v>612</v>
      </c>
      <c r="C802" s="21" t="s">
        <v>1303</v>
      </c>
      <c r="D802" s="21">
        <v>13</v>
      </c>
      <c r="E802" s="23">
        <v>13042</v>
      </c>
      <c r="G802" s="21" t="s">
        <v>310</v>
      </c>
    </row>
    <row r="803" spans="1:7" ht="14.4" hidden="1">
      <c r="A803" s="21"/>
      <c r="B803" s="22">
        <v>613</v>
      </c>
      <c r="C803" s="21" t="s">
        <v>1304</v>
      </c>
      <c r="D803" s="21">
        <v>13</v>
      </c>
      <c r="E803" s="23">
        <v>13041</v>
      </c>
      <c r="G803" s="21" t="s">
        <v>752</v>
      </c>
    </row>
    <row r="804" spans="1:7" ht="14.4" hidden="1">
      <c r="A804" s="21"/>
      <c r="B804" s="22">
        <v>614</v>
      </c>
      <c r="C804" s="21" t="s">
        <v>1305</v>
      </c>
      <c r="D804" s="21">
        <v>13</v>
      </c>
      <c r="E804" s="23">
        <v>13041</v>
      </c>
      <c r="G804" s="21" t="s">
        <v>752</v>
      </c>
    </row>
    <row r="805" spans="1:7" ht="14.4" hidden="1">
      <c r="A805" s="21"/>
      <c r="B805" s="21" t="s">
        <v>298</v>
      </c>
      <c r="C805" s="21" t="s">
        <v>1306</v>
      </c>
      <c r="D805" s="21">
        <v>13</v>
      </c>
      <c r="E805" s="23">
        <v>13041</v>
      </c>
      <c r="G805" s="21" t="s">
        <v>310</v>
      </c>
    </row>
    <row r="806" spans="1:7" ht="14.4" hidden="1">
      <c r="A806" s="21"/>
      <c r="B806" s="22">
        <v>615</v>
      </c>
      <c r="C806" s="21" t="s">
        <v>1307</v>
      </c>
      <c r="D806" s="21">
        <v>13</v>
      </c>
      <c r="E806" s="23">
        <v>13039</v>
      </c>
      <c r="G806" s="21" t="s">
        <v>337</v>
      </c>
    </row>
    <row r="807" spans="1:7" ht="14.4" hidden="1">
      <c r="A807" s="21"/>
      <c r="B807" s="22">
        <v>616</v>
      </c>
      <c r="C807" s="21" t="s">
        <v>1308</v>
      </c>
      <c r="D807" s="21">
        <v>13</v>
      </c>
      <c r="E807" s="23">
        <v>13038</v>
      </c>
      <c r="G807" s="21" t="s">
        <v>287</v>
      </c>
    </row>
    <row r="808" spans="1:7" ht="14.4" hidden="1">
      <c r="A808" s="21"/>
      <c r="B808" s="21" t="s">
        <v>298</v>
      </c>
      <c r="C808" s="21" t="s">
        <v>1309</v>
      </c>
      <c r="D808" s="21">
        <v>13</v>
      </c>
      <c r="E808" s="23">
        <v>13036</v>
      </c>
      <c r="G808" s="21" t="s">
        <v>310</v>
      </c>
    </row>
    <row r="809" spans="1:7" ht="14.4" hidden="1">
      <c r="A809" s="21"/>
      <c r="B809" s="22">
        <v>617</v>
      </c>
      <c r="C809" s="21" t="s">
        <v>1310</v>
      </c>
      <c r="D809" s="21">
        <v>13</v>
      </c>
      <c r="E809" s="23">
        <v>13035</v>
      </c>
      <c r="G809" s="21" t="s">
        <v>337</v>
      </c>
    </row>
    <row r="810" spans="1:7" ht="14.4" hidden="1">
      <c r="A810" s="21"/>
      <c r="B810" s="22">
        <v>618</v>
      </c>
      <c r="C810" s="21" t="s">
        <v>1311</v>
      </c>
      <c r="D810" s="21">
        <v>13</v>
      </c>
      <c r="E810" s="23">
        <v>13034</v>
      </c>
      <c r="G810" s="21" t="s">
        <v>310</v>
      </c>
    </row>
    <row r="811" spans="1:7" ht="14.4" hidden="1">
      <c r="A811" s="21"/>
      <c r="B811" s="22">
        <v>619</v>
      </c>
      <c r="C811" s="21" t="s">
        <v>1312</v>
      </c>
      <c r="D811" s="21">
        <v>13</v>
      </c>
      <c r="E811" s="23">
        <v>13033</v>
      </c>
      <c r="G811" s="21" t="s">
        <v>274</v>
      </c>
    </row>
    <row r="812" spans="1:7" ht="14.4" hidden="1">
      <c r="A812" s="21"/>
      <c r="B812" s="22">
        <v>620</v>
      </c>
      <c r="C812" s="21" t="s">
        <v>1313</v>
      </c>
      <c r="D812" s="21">
        <v>13</v>
      </c>
      <c r="E812" s="23">
        <v>13032</v>
      </c>
      <c r="G812" s="21" t="s">
        <v>310</v>
      </c>
    </row>
    <row r="813" spans="1:7" ht="14.4" hidden="1">
      <c r="A813" s="21"/>
      <c r="B813" s="21" t="s">
        <v>298</v>
      </c>
      <c r="C813" s="21" t="s">
        <v>1314</v>
      </c>
      <c r="D813" s="21">
        <v>13</v>
      </c>
      <c r="E813" s="23">
        <v>13030</v>
      </c>
      <c r="G813" s="21" t="s">
        <v>310</v>
      </c>
    </row>
    <row r="814" spans="1:7" ht="14.4" hidden="1">
      <c r="A814" s="21"/>
      <c r="B814" s="22">
        <v>621</v>
      </c>
      <c r="C814" s="21" t="s">
        <v>1315</v>
      </c>
      <c r="D814" s="21">
        <v>13</v>
      </c>
      <c r="E814" s="23">
        <v>13028</v>
      </c>
      <c r="G814" s="21" t="s">
        <v>282</v>
      </c>
    </row>
    <row r="815" spans="1:7" ht="14.4" hidden="1">
      <c r="A815" s="21"/>
      <c r="B815" s="22">
        <v>622</v>
      </c>
      <c r="C815" s="21" t="s">
        <v>1316</v>
      </c>
      <c r="D815" s="21">
        <v>13</v>
      </c>
      <c r="E815" s="23">
        <v>13026</v>
      </c>
      <c r="G815" s="21" t="s">
        <v>274</v>
      </c>
    </row>
    <row r="816" spans="1:7" ht="14.4" hidden="1">
      <c r="A816" s="21"/>
      <c r="B816" s="22">
        <v>623</v>
      </c>
      <c r="C816" s="21" t="s">
        <v>1317</v>
      </c>
      <c r="D816" s="21">
        <v>13</v>
      </c>
      <c r="E816" s="23">
        <v>13024</v>
      </c>
      <c r="G816" s="21" t="s">
        <v>752</v>
      </c>
    </row>
    <row r="817" spans="1:7" ht="14.4" hidden="1">
      <c r="A817" s="21"/>
      <c r="B817" s="21" t="s">
        <v>298</v>
      </c>
      <c r="C817" s="21" t="s">
        <v>1318</v>
      </c>
      <c r="D817" s="21">
        <v>13</v>
      </c>
      <c r="E817" s="23">
        <v>13024</v>
      </c>
      <c r="G817" s="21" t="s">
        <v>274</v>
      </c>
    </row>
    <row r="818" spans="1:7" ht="14.4" hidden="1">
      <c r="A818" s="21"/>
      <c r="B818" s="21" t="s">
        <v>298</v>
      </c>
      <c r="C818" s="21" t="s">
        <v>1319</v>
      </c>
      <c r="D818" s="21">
        <v>13</v>
      </c>
      <c r="E818" s="23">
        <v>13023</v>
      </c>
      <c r="G818" s="21" t="s">
        <v>287</v>
      </c>
    </row>
    <row r="819" spans="1:7" ht="14.4" hidden="1">
      <c r="A819" s="21"/>
      <c r="B819" s="22">
        <v>624</v>
      </c>
      <c r="C819" s="21" t="s">
        <v>1320</v>
      </c>
      <c r="D819" s="21">
        <v>13</v>
      </c>
      <c r="E819" s="23">
        <v>13020</v>
      </c>
      <c r="G819" s="21" t="s">
        <v>310</v>
      </c>
    </row>
    <row r="820" spans="1:7" ht="14.4" hidden="1">
      <c r="A820" s="21"/>
      <c r="B820" s="22">
        <v>626</v>
      </c>
      <c r="C820" s="21" t="s">
        <v>1321</v>
      </c>
      <c r="D820" s="21">
        <v>13</v>
      </c>
      <c r="E820" s="23">
        <v>13020</v>
      </c>
      <c r="G820" s="21" t="s">
        <v>282</v>
      </c>
    </row>
    <row r="821" spans="1:7" ht="14.4" hidden="1">
      <c r="A821" s="21"/>
      <c r="B821" s="22">
        <v>625</v>
      </c>
      <c r="C821" s="21" t="s">
        <v>1322</v>
      </c>
      <c r="D821" s="21">
        <v>13</v>
      </c>
      <c r="E821" s="23">
        <v>13020</v>
      </c>
      <c r="G821" s="21" t="s">
        <v>310</v>
      </c>
    </row>
    <row r="822" spans="1:7" ht="14.4" hidden="1">
      <c r="A822" s="21"/>
      <c r="B822" s="22">
        <v>627</v>
      </c>
      <c r="C822" s="21" t="s">
        <v>1323</v>
      </c>
      <c r="D822" s="21">
        <v>13</v>
      </c>
      <c r="E822" s="23">
        <v>13020</v>
      </c>
      <c r="G822" s="21" t="s">
        <v>337</v>
      </c>
    </row>
    <row r="823" spans="1:7" ht="14.4" hidden="1">
      <c r="A823" s="21"/>
      <c r="B823" s="21" t="s">
        <v>298</v>
      </c>
      <c r="C823" s="21" t="s">
        <v>1324</v>
      </c>
      <c r="D823" s="21">
        <v>13</v>
      </c>
      <c r="E823" s="23">
        <v>13020</v>
      </c>
      <c r="G823" s="21" t="s">
        <v>310</v>
      </c>
    </row>
    <row r="824" spans="1:7" ht="14.4" hidden="1">
      <c r="A824" s="21"/>
      <c r="B824" s="21" t="s">
        <v>278</v>
      </c>
      <c r="C824" s="21" t="s">
        <v>1325</v>
      </c>
      <c r="D824" s="21">
        <v>13</v>
      </c>
      <c r="E824" s="23">
        <v>13020</v>
      </c>
      <c r="G824" s="21" t="s">
        <v>310</v>
      </c>
    </row>
    <row r="825" spans="1:7" ht="14.4" hidden="1">
      <c r="A825" s="21"/>
      <c r="B825" s="21" t="s">
        <v>298</v>
      </c>
      <c r="C825" s="21" t="s">
        <v>1326</v>
      </c>
      <c r="D825" s="21">
        <v>13</v>
      </c>
      <c r="E825" s="23">
        <v>13020</v>
      </c>
      <c r="G825" s="21" t="s">
        <v>310</v>
      </c>
    </row>
    <row r="826" spans="1:7" ht="14.4" hidden="1">
      <c r="A826" s="21"/>
      <c r="B826" s="21" t="s">
        <v>298</v>
      </c>
      <c r="C826" s="21" t="s">
        <v>1327</v>
      </c>
      <c r="D826" s="21">
        <v>13</v>
      </c>
      <c r="E826" s="23">
        <v>13019</v>
      </c>
      <c r="G826" s="21" t="s">
        <v>310</v>
      </c>
    </row>
    <row r="827" spans="1:7" ht="14.4" hidden="1">
      <c r="A827" s="21"/>
      <c r="B827" s="22">
        <v>628</v>
      </c>
      <c r="C827" s="21" t="s">
        <v>1328</v>
      </c>
      <c r="D827" s="21">
        <v>13</v>
      </c>
      <c r="E827" s="23">
        <v>13017</v>
      </c>
      <c r="G827" s="21" t="s">
        <v>310</v>
      </c>
    </row>
    <row r="828" spans="1:7" ht="14.4" hidden="1">
      <c r="A828" s="21"/>
      <c r="B828" s="22">
        <v>629</v>
      </c>
      <c r="C828" s="21" t="s">
        <v>1329</v>
      </c>
      <c r="D828" s="21">
        <v>13</v>
      </c>
      <c r="E828" s="23">
        <v>13016</v>
      </c>
      <c r="G828" s="21" t="s">
        <v>310</v>
      </c>
    </row>
    <row r="829" spans="1:7" ht="14.4" hidden="1">
      <c r="A829" s="21"/>
      <c r="B829" s="22">
        <v>630</v>
      </c>
      <c r="C829" s="21" t="s">
        <v>1330</v>
      </c>
      <c r="D829" s="21">
        <v>13</v>
      </c>
      <c r="E829" s="23">
        <v>13015</v>
      </c>
      <c r="G829" s="21" t="s">
        <v>310</v>
      </c>
    </row>
    <row r="830" spans="1:7" ht="14.4" hidden="1">
      <c r="A830" s="21"/>
      <c r="B830" s="22">
        <v>631</v>
      </c>
      <c r="C830" s="21" t="s">
        <v>1331</v>
      </c>
      <c r="D830" s="21">
        <v>13</v>
      </c>
      <c r="E830" s="23">
        <v>13014</v>
      </c>
      <c r="G830" s="21" t="s">
        <v>310</v>
      </c>
    </row>
    <row r="831" spans="1:7" ht="14.4" hidden="1">
      <c r="A831" s="21"/>
      <c r="B831" s="22">
        <v>632</v>
      </c>
      <c r="C831" s="21" t="s">
        <v>1332</v>
      </c>
      <c r="D831" s="21">
        <v>13</v>
      </c>
      <c r="E831" s="23">
        <v>13012</v>
      </c>
      <c r="G831" s="21" t="s">
        <v>282</v>
      </c>
    </row>
    <row r="832" spans="1:7" ht="14.4" hidden="1">
      <c r="A832" s="21"/>
      <c r="B832" s="21" t="s">
        <v>298</v>
      </c>
      <c r="C832" s="21" t="s">
        <v>1333</v>
      </c>
      <c r="D832" s="21">
        <v>13</v>
      </c>
      <c r="E832" s="23">
        <v>13012</v>
      </c>
      <c r="G832" s="21" t="s">
        <v>310</v>
      </c>
    </row>
    <row r="833" spans="1:7" ht="14.4" hidden="1">
      <c r="A833" s="21"/>
      <c r="B833" s="22">
        <v>633</v>
      </c>
      <c r="C833" s="21" t="s">
        <v>1334</v>
      </c>
      <c r="D833" s="21">
        <v>13</v>
      </c>
      <c r="E833" s="23">
        <v>13010</v>
      </c>
      <c r="G833" s="21" t="s">
        <v>310</v>
      </c>
    </row>
    <row r="834" spans="1:7" ht="14.4" hidden="1">
      <c r="A834" s="21"/>
      <c r="B834" s="22">
        <v>634</v>
      </c>
      <c r="C834" s="21" t="s">
        <v>1335</v>
      </c>
      <c r="D834" s="21">
        <v>13</v>
      </c>
      <c r="E834" s="23">
        <v>13010</v>
      </c>
      <c r="G834" s="21" t="s">
        <v>287</v>
      </c>
    </row>
    <row r="835" spans="1:7" ht="14.4" hidden="1">
      <c r="A835" s="21"/>
      <c r="B835" s="22">
        <v>635</v>
      </c>
      <c r="C835" s="21" t="s">
        <v>1336</v>
      </c>
      <c r="D835" s="21">
        <v>13</v>
      </c>
      <c r="E835" s="23">
        <v>13006</v>
      </c>
      <c r="G835" s="21" t="s">
        <v>300</v>
      </c>
    </row>
    <row r="836" spans="1:7" ht="14.4" hidden="1">
      <c r="A836" s="21"/>
      <c r="B836" s="21" t="s">
        <v>278</v>
      </c>
      <c r="C836" s="21" t="s">
        <v>1337</v>
      </c>
      <c r="D836" s="21">
        <v>13</v>
      </c>
      <c r="E836" s="23">
        <v>13005</v>
      </c>
      <c r="G836" s="21" t="s">
        <v>752</v>
      </c>
    </row>
    <row r="837" spans="1:7" ht="14.4" hidden="1">
      <c r="A837" s="21"/>
      <c r="B837" s="22">
        <v>636</v>
      </c>
      <c r="C837" s="21" t="s">
        <v>1338</v>
      </c>
      <c r="D837" s="21">
        <v>13</v>
      </c>
      <c r="E837" s="23">
        <v>13003</v>
      </c>
      <c r="G837" s="21" t="s">
        <v>274</v>
      </c>
    </row>
    <row r="838" spans="1:7" ht="14.4" hidden="1">
      <c r="A838" s="21"/>
      <c r="B838" s="21" t="s">
        <v>298</v>
      </c>
      <c r="C838" s="21" t="s">
        <v>1339</v>
      </c>
      <c r="D838" s="21">
        <v>13</v>
      </c>
      <c r="E838" s="23">
        <v>13003</v>
      </c>
      <c r="G838" s="21" t="s">
        <v>310</v>
      </c>
    </row>
    <row r="839" spans="1:7" ht="14.4" hidden="1">
      <c r="A839" s="21"/>
      <c r="B839" s="22">
        <v>637</v>
      </c>
      <c r="C839" s="21" t="s">
        <v>1340</v>
      </c>
      <c r="D839" s="21">
        <v>13</v>
      </c>
      <c r="E839" s="23">
        <v>13001</v>
      </c>
      <c r="G839" s="21" t="s">
        <v>274</v>
      </c>
    </row>
  </sheetData>
  <autoFilter ref="A1:G1000" xr:uid="{00000000-0009-0000-0000-000005000000}">
    <filterColumn colId="0">
      <filters blank="1">
        <filter val="?"/>
        <filter val="6/9/2018"/>
        <filter val="9/28/2010"/>
      </filters>
    </filterColumn>
    <filterColumn colId="1">
      <filters blank="1">
        <filter val="1"/>
        <filter val="10"/>
        <filter val="100"/>
        <filter val="101"/>
        <filter val="102"/>
        <filter val="103"/>
        <filter val="104"/>
        <filter val="105"/>
        <filter val="106"/>
        <filter val="107"/>
        <filter val="108"/>
        <filter val="109"/>
        <filter val="11"/>
        <filter val="110"/>
        <filter val="111"/>
        <filter val="112"/>
        <filter val="113"/>
        <filter val="114"/>
        <filter val="115"/>
        <filter val="116"/>
        <filter val="117"/>
        <filter val="118"/>
        <filter val="119"/>
        <filter val="12"/>
        <filter val="120"/>
        <filter val="121"/>
        <filter val="122"/>
        <filter val="123"/>
        <filter val="124"/>
        <filter val="125"/>
        <filter val="126"/>
        <filter val="127"/>
        <filter val="128"/>
        <filter val="129"/>
        <filter val="13"/>
        <filter val="130"/>
        <filter val="131"/>
        <filter val="132"/>
        <filter val="133"/>
        <filter val="134"/>
        <filter val="135"/>
        <filter val="136"/>
        <filter val="137"/>
        <filter val="138"/>
        <filter val="139"/>
        <filter val="14"/>
        <filter val="140"/>
        <filter val="141"/>
        <filter val="142"/>
        <filter val="143"/>
        <filter val="144"/>
        <filter val="145"/>
        <filter val="146"/>
        <filter val="147"/>
        <filter val="148"/>
        <filter val="149"/>
        <filter val="15"/>
        <filter val="150"/>
        <filter val="151"/>
        <filter val="152"/>
        <filter val="153"/>
        <filter val="154"/>
        <filter val="155"/>
        <filter val="156"/>
        <filter val="157"/>
        <filter val="158"/>
        <filter val="159"/>
        <filter val="16"/>
        <filter val="160"/>
        <filter val="161"/>
        <filter val="162"/>
        <filter val="163"/>
        <filter val="164"/>
        <filter val="165"/>
        <filter val="166"/>
        <filter val="167"/>
        <filter val="168"/>
        <filter val="169"/>
        <filter val="17"/>
        <filter val="170"/>
        <filter val="171"/>
        <filter val="172"/>
        <filter val="173"/>
        <filter val="174"/>
        <filter val="175"/>
        <filter val="176"/>
        <filter val="177"/>
        <filter val="178"/>
        <filter val="179"/>
        <filter val="18"/>
        <filter val="180"/>
        <filter val="181"/>
        <filter val="182"/>
        <filter val="183"/>
        <filter val="184"/>
        <filter val="185"/>
        <filter val="186"/>
        <filter val="187"/>
        <filter val="188"/>
        <filter val="189"/>
        <filter val="19"/>
        <filter val="190"/>
        <filter val="191"/>
        <filter val="192"/>
        <filter val="193"/>
        <filter val="194"/>
        <filter val="195"/>
        <filter val="196"/>
        <filter val="197"/>
        <filter val="198"/>
        <filter val="199"/>
        <filter val="2"/>
        <filter val="20"/>
        <filter val="200"/>
        <filter val="201"/>
        <filter val="202"/>
        <filter val="203"/>
        <filter val="204"/>
        <filter val="205"/>
        <filter val="206"/>
        <filter val="207"/>
        <filter val="208"/>
        <filter val="209"/>
        <filter val="21"/>
        <filter val="210"/>
        <filter val="211"/>
        <filter val="212"/>
        <filter val="213"/>
        <filter val="214"/>
        <filter val="215"/>
        <filter val="216"/>
        <filter val="217"/>
        <filter val="218"/>
        <filter val="219"/>
        <filter val="22"/>
        <filter val="220"/>
        <filter val="221"/>
        <filter val="222"/>
        <filter val="223"/>
        <filter val="224"/>
        <filter val="225"/>
        <filter val="226"/>
        <filter val="227"/>
        <filter val="228"/>
        <filter val="229"/>
        <filter val="23"/>
        <filter val="230"/>
        <filter val="231"/>
        <filter val="232"/>
        <filter val="233"/>
        <filter val="234"/>
        <filter val="235"/>
        <filter val="236"/>
        <filter val="237"/>
        <filter val="238"/>
        <filter val="239"/>
        <filter val="24"/>
        <filter val="240"/>
        <filter val="241"/>
        <filter val="242"/>
        <filter val="243"/>
        <filter val="244"/>
        <filter val="245"/>
        <filter val="246"/>
        <filter val="247"/>
        <filter val="248"/>
        <filter val="249"/>
        <filter val="25"/>
        <filter val="250"/>
        <filter val="251"/>
        <filter val="252"/>
        <filter val="253"/>
        <filter val="254"/>
        <filter val="255"/>
        <filter val="256"/>
        <filter val="257"/>
        <filter val="258"/>
        <filter val="259"/>
        <filter val="26"/>
        <filter val="260"/>
        <filter val="261"/>
        <filter val="262"/>
        <filter val="263"/>
        <filter val="264"/>
        <filter val="265"/>
        <filter val="266"/>
        <filter val="267"/>
        <filter val="268"/>
        <filter val="269"/>
        <filter val="27"/>
        <filter val="270"/>
        <filter val="271"/>
        <filter val="272"/>
        <filter val="273"/>
        <filter val="274"/>
        <filter val="275"/>
        <filter val="276"/>
        <filter val="277"/>
        <filter val="278"/>
        <filter val="279"/>
        <filter val="28"/>
        <filter val="280"/>
        <filter val="281"/>
        <filter val="282"/>
        <filter val="283"/>
        <filter val="284"/>
        <filter val="285"/>
        <filter val="286"/>
        <filter val="287"/>
        <filter val="288"/>
        <filter val="289"/>
        <filter val="29"/>
        <filter val="290"/>
        <filter val="291"/>
        <filter val="292"/>
        <filter val="293"/>
        <filter val="294"/>
        <filter val="295"/>
        <filter val="296"/>
        <filter val="297"/>
        <filter val="298"/>
        <filter val="299"/>
        <filter val="3"/>
        <filter val="30"/>
        <filter val="300"/>
        <filter val="301"/>
        <filter val="302"/>
        <filter val="303"/>
        <filter val="304"/>
        <filter val="305"/>
        <filter val="306"/>
        <filter val="307"/>
        <filter val="308"/>
        <filter val="309"/>
        <filter val="31"/>
        <filter val="310"/>
        <filter val="311"/>
        <filter val="312"/>
        <filter val="313"/>
        <filter val="314"/>
        <filter val="315"/>
        <filter val="316"/>
        <filter val="317"/>
        <filter val="318"/>
        <filter val="319"/>
        <filter val="32"/>
        <filter val="320"/>
        <filter val="321"/>
        <filter val="322"/>
        <filter val="323"/>
        <filter val="324"/>
        <filter val="325"/>
        <filter val="326"/>
        <filter val="327"/>
        <filter val="328"/>
        <filter val="329"/>
        <filter val="33"/>
        <filter val="330"/>
        <filter val="331"/>
        <filter val="332"/>
        <filter val="333"/>
        <filter val="334"/>
        <filter val="335"/>
        <filter val="336"/>
        <filter val="337"/>
        <filter val="338"/>
        <filter val="339"/>
        <filter val="34"/>
        <filter val="340"/>
        <filter val="341"/>
        <filter val="342"/>
        <filter val="343"/>
        <filter val="344"/>
        <filter val="345"/>
        <filter val="346"/>
        <filter val="347"/>
        <filter val="348"/>
        <filter val="349"/>
        <filter val="35"/>
        <filter val="350"/>
        <filter val="351"/>
        <filter val="352"/>
        <filter val="353"/>
        <filter val="354"/>
        <filter val="355"/>
        <filter val="356"/>
        <filter val="357"/>
        <filter val="358"/>
        <filter val="359"/>
        <filter val="36"/>
        <filter val="360"/>
        <filter val="361"/>
        <filter val="362"/>
        <filter val="363"/>
        <filter val="364"/>
        <filter val="365"/>
        <filter val="366"/>
        <filter val="367"/>
        <filter val="368"/>
        <filter val="369"/>
        <filter val="37"/>
        <filter val="370"/>
        <filter val="371"/>
        <filter val="372"/>
        <filter val="373"/>
        <filter val="374"/>
        <filter val="375"/>
        <filter val="376"/>
        <filter val="377"/>
        <filter val="378"/>
        <filter val="379"/>
        <filter val="38"/>
        <filter val="380"/>
        <filter val="381"/>
        <filter val="382"/>
        <filter val="383"/>
        <filter val="384"/>
        <filter val="385"/>
        <filter val="386"/>
        <filter val="387"/>
        <filter val="388"/>
        <filter val="389"/>
        <filter val="39"/>
        <filter val="390"/>
        <filter val="391"/>
        <filter val="392"/>
        <filter val="393"/>
        <filter val="394"/>
        <filter val="395"/>
        <filter val="396"/>
        <filter val="397"/>
        <filter val="398"/>
        <filter val="399"/>
        <filter val="4"/>
        <filter val="40"/>
        <filter val="400"/>
        <filter val="401"/>
        <filter val="402"/>
        <filter val="403"/>
        <filter val="404"/>
        <filter val="405"/>
        <filter val="406"/>
        <filter val="407"/>
        <filter val="408"/>
        <filter val="409"/>
        <filter val="41"/>
        <filter val="410"/>
        <filter val="411"/>
        <filter val="412"/>
        <filter val="413"/>
        <filter val="414"/>
        <filter val="415"/>
        <filter val="416"/>
        <filter val="417"/>
        <filter val="418"/>
        <filter val="419"/>
        <filter val="42"/>
        <filter val="420"/>
        <filter val="421"/>
        <filter val="422"/>
        <filter val="423"/>
        <filter val="424"/>
        <filter val="425"/>
        <filter val="426"/>
        <filter val="427"/>
        <filter val="428"/>
        <filter val="429"/>
        <filter val="43"/>
        <filter val="430"/>
        <filter val="431"/>
        <filter val="432"/>
        <filter val="433"/>
        <filter val="434"/>
        <filter val="435"/>
        <filter val="436"/>
        <filter val="437"/>
        <filter val="438"/>
        <filter val="439"/>
        <filter val="44"/>
        <filter val="440"/>
        <filter val="441"/>
        <filter val="442"/>
        <filter val="443"/>
        <filter val="444"/>
        <filter val="445"/>
        <filter val="446"/>
        <filter val="447"/>
        <filter val="448"/>
        <filter val="449"/>
        <filter val="45"/>
        <filter val="450"/>
        <filter val="451"/>
        <filter val="452"/>
        <filter val="453"/>
        <filter val="454"/>
        <filter val="455"/>
        <filter val="456"/>
        <filter val="457"/>
        <filter val="458"/>
        <filter val="459"/>
        <filter val="46"/>
        <filter val="460"/>
        <filter val="461"/>
        <filter val="462"/>
        <filter val="463"/>
        <filter val="464"/>
        <filter val="465"/>
        <filter val="466"/>
        <filter val="467"/>
        <filter val="468"/>
        <filter val="469"/>
        <filter val="47"/>
        <filter val="470"/>
        <filter val="471"/>
        <filter val="472"/>
        <filter val="473"/>
        <filter val="474"/>
        <filter val="475"/>
        <filter val="476"/>
        <filter val="477"/>
        <filter val="478"/>
        <filter val="479"/>
        <filter val="48"/>
        <filter val="480"/>
        <filter val="481"/>
        <filter val="482"/>
        <filter val="483"/>
        <filter val="484"/>
        <filter val="485"/>
        <filter val="486"/>
        <filter val="487"/>
        <filter val="488"/>
        <filter val="489"/>
        <filter val="49"/>
        <filter val="490"/>
        <filter val="491"/>
        <filter val="492"/>
        <filter val="493"/>
        <filter val="494"/>
        <filter val="495"/>
        <filter val="496"/>
        <filter val="497"/>
        <filter val="498"/>
        <filter val="499"/>
        <filter val="5"/>
        <filter val="50"/>
        <filter val="500"/>
        <filter val="501"/>
        <filter val="502"/>
        <filter val="503"/>
        <filter val="504"/>
        <filter val="505"/>
        <filter val="506"/>
        <filter val="507"/>
        <filter val="508"/>
        <filter val="509"/>
        <filter val="51"/>
        <filter val="510"/>
        <filter val="511"/>
        <filter val="512"/>
        <filter val="513"/>
        <filter val="514"/>
        <filter val="515"/>
        <filter val="516"/>
        <filter val="517"/>
        <filter val="518"/>
        <filter val="519"/>
        <filter val="52"/>
        <filter val="520"/>
        <filter val="521"/>
        <filter val="522"/>
        <filter val="523"/>
        <filter val="524"/>
        <filter val="525"/>
        <filter val="526"/>
        <filter val="527"/>
        <filter val="528"/>
        <filter val="529"/>
        <filter val="53"/>
        <filter val="530"/>
        <filter val="531"/>
        <filter val="532"/>
        <filter val="533"/>
        <filter val="534"/>
        <filter val="535"/>
        <filter val="536"/>
        <filter val="537"/>
        <filter val="538"/>
        <filter val="539"/>
        <filter val="54"/>
        <filter val="540"/>
        <filter val="541"/>
        <filter val="542"/>
        <filter val="543"/>
        <filter val="544"/>
        <filter val="545"/>
        <filter val="546"/>
        <filter val="547"/>
        <filter val="548"/>
        <filter val="549"/>
        <filter val="55"/>
        <filter val="550"/>
        <filter val="551"/>
        <filter val="552"/>
        <filter val="553"/>
        <filter val="554"/>
        <filter val="555"/>
        <filter val="556"/>
        <filter val="557"/>
        <filter val="558"/>
        <filter val="559"/>
        <filter val="56"/>
        <filter val="560"/>
        <filter val="561"/>
        <filter val="562"/>
        <filter val="563"/>
        <filter val="564"/>
        <filter val="565"/>
        <filter val="566"/>
        <filter val="567"/>
        <filter val="568"/>
        <filter val="569"/>
        <filter val="57"/>
        <filter val="570"/>
        <filter val="571"/>
        <filter val="572"/>
        <filter val="573"/>
        <filter val="574"/>
        <filter val="575"/>
        <filter val="576"/>
        <filter val="577"/>
        <filter val="578"/>
        <filter val="579"/>
        <filter val="58"/>
        <filter val="580"/>
        <filter val="581"/>
        <filter val="582"/>
        <filter val="583"/>
        <filter val="584"/>
        <filter val="585"/>
        <filter val="586"/>
        <filter val="587"/>
        <filter val="588"/>
        <filter val="589"/>
        <filter val="59"/>
        <filter val="590"/>
        <filter val="591"/>
        <filter val="592"/>
        <filter val="593"/>
        <filter val="594"/>
        <filter val="595"/>
        <filter val="596"/>
        <filter val="597"/>
        <filter val="598"/>
        <filter val="599"/>
        <filter val="6"/>
        <filter val="60"/>
        <filter val="600"/>
        <filter val="601"/>
        <filter val="602"/>
        <filter val="603"/>
        <filter val="604"/>
        <filter val="605"/>
        <filter val="606"/>
        <filter val="607"/>
        <filter val="608"/>
        <filter val="609"/>
        <filter val="61"/>
        <filter val="610"/>
        <filter val="611"/>
        <filter val="612"/>
        <filter val="613"/>
        <filter val="614"/>
        <filter val="615"/>
        <filter val="616"/>
        <filter val="617"/>
        <filter val="618"/>
        <filter val="619"/>
        <filter val="62"/>
        <filter val="620"/>
        <filter val="621"/>
        <filter val="622"/>
        <filter val="623"/>
        <filter val="624"/>
        <filter val="625"/>
        <filter val="626"/>
        <filter val="627"/>
        <filter val="628"/>
        <filter val="629"/>
        <filter val="63"/>
        <filter val="630"/>
        <filter val="631"/>
        <filter val="632"/>
        <filter val="633"/>
        <filter val="634"/>
        <filter val="635"/>
        <filter val="636"/>
        <filter val="637"/>
        <filter val="64"/>
        <filter val="65"/>
        <filter val="66"/>
        <filter val="67"/>
        <filter val="68"/>
        <filter val="69"/>
        <filter val="7"/>
        <filter val="70"/>
        <filter val="71"/>
        <filter val="72"/>
        <filter val="73"/>
        <filter val="74"/>
        <filter val="75"/>
        <filter val="76"/>
        <filter val="77"/>
        <filter val="78"/>
        <filter val="79"/>
        <filter val="8"/>
        <filter val="80"/>
        <filter val="81"/>
        <filter val="82"/>
        <filter val="83"/>
        <filter val="84"/>
        <filter val="85"/>
        <filter val="86"/>
        <filter val="87"/>
        <filter val="88"/>
        <filter val="89"/>
        <filter val="9"/>
        <filter val="90"/>
        <filter val="91"/>
        <filter val="92"/>
        <filter val="93"/>
        <filter val="94"/>
        <filter val="95"/>
        <filter val="96"/>
        <filter val="97"/>
        <filter val="98"/>
        <filter val="99"/>
      </filters>
    </filterColumn>
    <filterColumn colId="3">
      <filters blank="1">
        <filter val="14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K64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ColWidth="14.44140625" defaultRowHeight="15.75" customHeight="1"/>
  <cols>
    <col min="1" max="1" width="8.5546875" customWidth="1"/>
    <col min="2" max="2" width="6" customWidth="1"/>
    <col min="3" max="3" width="38" customWidth="1"/>
    <col min="4" max="4" width="27.6640625" customWidth="1"/>
    <col min="11" max="11" width="25.6640625" customWidth="1"/>
  </cols>
  <sheetData>
    <row r="1" spans="1:11" ht="17.399999999999999">
      <c r="A1" s="26" t="s">
        <v>307</v>
      </c>
    </row>
    <row r="3" spans="1:11" ht="15.75" customHeight="1">
      <c r="B3" s="27" t="s">
        <v>315</v>
      </c>
      <c r="D3" s="27" t="s">
        <v>5</v>
      </c>
      <c r="E3" s="1" t="s">
        <v>321</v>
      </c>
      <c r="F3" s="1" t="s">
        <v>323</v>
      </c>
      <c r="G3" s="27" t="s">
        <v>324</v>
      </c>
      <c r="K3" s="2" t="s">
        <v>65</v>
      </c>
    </row>
    <row r="4" spans="1:11" ht="15.75" customHeight="1">
      <c r="C4" s="28" t="s">
        <v>327</v>
      </c>
      <c r="D4" s="3"/>
      <c r="G4" s="3"/>
      <c r="K4" s="3" t="s">
        <v>231</v>
      </c>
    </row>
    <row r="5" spans="1:11" ht="15.75" customHeight="1">
      <c r="C5" s="3" t="s">
        <v>357</v>
      </c>
      <c r="D5" s="3" t="s">
        <v>359</v>
      </c>
      <c r="E5" s="3" t="s">
        <v>360</v>
      </c>
      <c r="F5" s="3" t="s">
        <v>361</v>
      </c>
      <c r="G5" s="3" t="s">
        <v>363</v>
      </c>
      <c r="K5" s="3" t="s">
        <v>133</v>
      </c>
    </row>
    <row r="6" spans="1:11" ht="15.75" customHeight="1">
      <c r="C6" s="3" t="s">
        <v>94</v>
      </c>
      <c r="D6" s="3" t="s">
        <v>365</v>
      </c>
      <c r="E6" s="3" t="s">
        <v>366</v>
      </c>
      <c r="F6" s="3" t="s">
        <v>367</v>
      </c>
      <c r="G6" s="3" t="s">
        <v>368</v>
      </c>
      <c r="K6" s="3" t="s">
        <v>125</v>
      </c>
    </row>
    <row r="7" spans="1:11" ht="15.75" customHeight="1">
      <c r="C7" s="3" t="s">
        <v>370</v>
      </c>
      <c r="D7" s="3" t="s">
        <v>371</v>
      </c>
      <c r="E7" s="3" t="s">
        <v>372</v>
      </c>
      <c r="F7" s="3" t="s">
        <v>373</v>
      </c>
      <c r="G7" s="3" t="s">
        <v>374</v>
      </c>
      <c r="K7" s="3" t="s">
        <v>376</v>
      </c>
    </row>
    <row r="8" spans="1:11" ht="15.75" customHeight="1">
      <c r="C8" s="3" t="s">
        <v>378</v>
      </c>
      <c r="D8" s="3" t="s">
        <v>380</v>
      </c>
      <c r="K8" s="3" t="s">
        <v>125</v>
      </c>
    </row>
    <row r="9" spans="1:11" ht="15.75" customHeight="1">
      <c r="C9" s="3" t="s">
        <v>382</v>
      </c>
      <c r="E9" s="3" t="s">
        <v>383</v>
      </c>
      <c r="F9" s="3" t="s">
        <v>384</v>
      </c>
      <c r="G9" s="3" t="s">
        <v>363</v>
      </c>
    </row>
    <row r="10" spans="1:11" ht="15.75" customHeight="1">
      <c r="C10" s="3" t="s">
        <v>386</v>
      </c>
    </row>
    <row r="11" spans="1:11" ht="15.75" customHeight="1">
      <c r="C11" s="3" t="s">
        <v>388</v>
      </c>
      <c r="D11" s="3" t="s">
        <v>389</v>
      </c>
    </row>
    <row r="12" spans="1:11" ht="15.75" customHeight="1">
      <c r="C12" s="3" t="s">
        <v>391</v>
      </c>
      <c r="D12" s="3" t="s">
        <v>392</v>
      </c>
      <c r="E12" s="3" t="s">
        <v>394</v>
      </c>
      <c r="F12" s="3" t="s">
        <v>395</v>
      </c>
      <c r="K12" s="3" t="s">
        <v>175</v>
      </c>
    </row>
    <row r="13" spans="1:11" ht="15.75" customHeight="1">
      <c r="C13" s="3" t="s">
        <v>397</v>
      </c>
      <c r="D13" s="3" t="s">
        <v>399</v>
      </c>
      <c r="E13" s="3" t="s">
        <v>400</v>
      </c>
      <c r="F13" s="3" t="s">
        <v>401</v>
      </c>
      <c r="G13" s="3" t="s">
        <v>402</v>
      </c>
      <c r="K13" s="3" t="s">
        <v>125</v>
      </c>
    </row>
    <row r="14" spans="1:11" ht="15.75" customHeight="1">
      <c r="C14" s="3" t="s">
        <v>224</v>
      </c>
      <c r="D14" s="3" t="s">
        <v>404</v>
      </c>
      <c r="E14" s="3" t="s">
        <v>406</v>
      </c>
      <c r="F14" s="3" t="s">
        <v>407</v>
      </c>
      <c r="G14" s="3" t="s">
        <v>408</v>
      </c>
      <c r="K14" s="3" t="s">
        <v>410</v>
      </c>
    </row>
    <row r="15" spans="1:11" ht="15.75" customHeight="1">
      <c r="C15" s="3" t="s">
        <v>411</v>
      </c>
      <c r="D15" s="3" t="s">
        <v>413</v>
      </c>
      <c r="E15" s="3" t="s">
        <v>414</v>
      </c>
      <c r="F15" s="3" t="s">
        <v>415</v>
      </c>
      <c r="G15" s="3" t="s">
        <v>368</v>
      </c>
      <c r="K15" s="3" t="s">
        <v>417</v>
      </c>
    </row>
    <row r="16" spans="1:11" ht="15.75" customHeight="1">
      <c r="C16" s="3" t="s">
        <v>418</v>
      </c>
      <c r="D16" s="3" t="s">
        <v>419</v>
      </c>
      <c r="E16" s="3" t="s">
        <v>421</v>
      </c>
      <c r="F16" s="3" t="s">
        <v>367</v>
      </c>
      <c r="G16" s="3" t="s">
        <v>422</v>
      </c>
      <c r="K16" s="3" t="s">
        <v>125</v>
      </c>
    </row>
    <row r="17" spans="1:11" ht="15.75" customHeight="1">
      <c r="C17" s="3" t="s">
        <v>424</v>
      </c>
      <c r="D17" s="3" t="s">
        <v>425</v>
      </c>
      <c r="E17" s="3" t="s">
        <v>426</v>
      </c>
      <c r="F17" s="3" t="s">
        <v>427</v>
      </c>
      <c r="G17" s="3" t="s">
        <v>428</v>
      </c>
      <c r="K17" s="3" t="s">
        <v>231</v>
      </c>
    </row>
    <row r="18" spans="1:11" ht="15.75" customHeight="1">
      <c r="C18" s="3" t="s">
        <v>430</v>
      </c>
      <c r="D18" s="3" t="s">
        <v>389</v>
      </c>
      <c r="E18" s="3" t="s">
        <v>431</v>
      </c>
      <c r="F18" s="3" t="s">
        <v>432</v>
      </c>
      <c r="G18" s="3" t="s">
        <v>434</v>
      </c>
    </row>
    <row r="20" spans="1:11" ht="15.75" customHeight="1">
      <c r="B20" s="27" t="s">
        <v>435</v>
      </c>
      <c r="D20" s="28" t="s">
        <v>437</v>
      </c>
      <c r="K20" s="3" t="s">
        <v>452</v>
      </c>
    </row>
    <row r="21" spans="1:11" ht="15.75" customHeight="1">
      <c r="A21" s="1" t="s">
        <v>454</v>
      </c>
      <c r="B21" s="1"/>
      <c r="C21" s="28" t="s">
        <v>456</v>
      </c>
    </row>
    <row r="22" spans="1:11" ht="15.75" customHeight="1">
      <c r="B22" s="1">
        <v>1</v>
      </c>
      <c r="C22" s="3" t="s">
        <v>475</v>
      </c>
      <c r="K22" s="3" t="s">
        <v>476</v>
      </c>
    </row>
    <row r="23" spans="1:11" ht="15.75" customHeight="1">
      <c r="B23" s="1">
        <v>2</v>
      </c>
      <c r="C23" s="3" t="s">
        <v>478</v>
      </c>
      <c r="D23" s="3" t="s">
        <v>479</v>
      </c>
      <c r="E23" s="3" t="s">
        <v>480</v>
      </c>
      <c r="F23" s="3" t="s">
        <v>482</v>
      </c>
      <c r="G23" s="3" t="s">
        <v>483</v>
      </c>
      <c r="K23" s="3" t="s">
        <v>410</v>
      </c>
    </row>
    <row r="24" spans="1:11" ht="15.75" customHeight="1">
      <c r="B24" s="1">
        <v>3</v>
      </c>
      <c r="C24" s="3" t="s">
        <v>484</v>
      </c>
      <c r="D24" s="3" t="s">
        <v>486</v>
      </c>
      <c r="E24" s="3" t="s">
        <v>487</v>
      </c>
      <c r="F24" s="3" t="s">
        <v>488</v>
      </c>
      <c r="G24" s="3" t="s">
        <v>422</v>
      </c>
      <c r="K24" s="3" t="s">
        <v>125</v>
      </c>
    </row>
    <row r="25" spans="1:11" ht="15.75" customHeight="1">
      <c r="B25" s="1">
        <v>4</v>
      </c>
      <c r="C25" s="3" t="s">
        <v>490</v>
      </c>
      <c r="D25" s="3" t="s">
        <v>492</v>
      </c>
      <c r="E25" s="3" t="s">
        <v>493</v>
      </c>
      <c r="F25" s="3" t="s">
        <v>488</v>
      </c>
      <c r="G25" s="3" t="s">
        <v>483</v>
      </c>
    </row>
    <row r="26" spans="1:11" ht="15.75" customHeight="1">
      <c r="B26" s="1">
        <v>5</v>
      </c>
      <c r="C26" s="3" t="s">
        <v>495</v>
      </c>
      <c r="D26" s="3" t="s">
        <v>496</v>
      </c>
      <c r="E26" s="3" t="s">
        <v>498</v>
      </c>
      <c r="F26" s="3" t="s">
        <v>499</v>
      </c>
      <c r="G26" s="3" t="s">
        <v>483</v>
      </c>
      <c r="K26" s="3" t="s">
        <v>500</v>
      </c>
    </row>
    <row r="27" spans="1:11" ht="15.75" customHeight="1">
      <c r="B27" s="1">
        <v>6</v>
      </c>
      <c r="C27" s="3" t="s">
        <v>502</v>
      </c>
      <c r="D27" s="3" t="s">
        <v>503</v>
      </c>
      <c r="E27" s="3" t="s">
        <v>504</v>
      </c>
      <c r="F27" s="3" t="s">
        <v>505</v>
      </c>
      <c r="G27" s="3" t="s">
        <v>483</v>
      </c>
      <c r="K27" s="3" t="s">
        <v>506</v>
      </c>
    </row>
    <row r="28" spans="1:11" ht="15.75" customHeight="1">
      <c r="B28" s="1">
        <v>7</v>
      </c>
      <c r="C28" s="3" t="s">
        <v>509</v>
      </c>
      <c r="D28" s="3" t="s">
        <v>510</v>
      </c>
      <c r="E28" s="3" t="s">
        <v>511</v>
      </c>
      <c r="F28" s="3" t="s">
        <v>512</v>
      </c>
      <c r="G28" s="3" t="s">
        <v>483</v>
      </c>
      <c r="K28" s="3" t="s">
        <v>231</v>
      </c>
    </row>
    <row r="29" spans="1:11" ht="15.75" customHeight="1">
      <c r="B29" s="1">
        <v>8</v>
      </c>
      <c r="C29" s="3" t="s">
        <v>514</v>
      </c>
      <c r="D29" s="3" t="s">
        <v>514</v>
      </c>
      <c r="E29" s="3" t="s">
        <v>516</v>
      </c>
      <c r="F29" s="3" t="s">
        <v>517</v>
      </c>
      <c r="G29" s="3" t="s">
        <v>408</v>
      </c>
      <c r="K29" s="3" t="s">
        <v>133</v>
      </c>
    </row>
    <row r="30" spans="1:11" ht="15.75" customHeight="1">
      <c r="B30" s="1">
        <v>9</v>
      </c>
      <c r="C30" s="3" t="s">
        <v>519</v>
      </c>
      <c r="D30" s="3" t="s">
        <v>520</v>
      </c>
      <c r="E30" s="3" t="s">
        <v>521</v>
      </c>
      <c r="F30" s="3" t="s">
        <v>522</v>
      </c>
      <c r="G30" s="3" t="s">
        <v>483</v>
      </c>
      <c r="K30" s="3" t="s">
        <v>234</v>
      </c>
    </row>
    <row r="31" spans="1:11" ht="15.75" customHeight="1">
      <c r="B31" s="1">
        <v>10</v>
      </c>
      <c r="C31" s="3" t="s">
        <v>524</v>
      </c>
      <c r="D31" s="3" t="s">
        <v>526</v>
      </c>
      <c r="E31" s="3" t="s">
        <v>527</v>
      </c>
      <c r="F31" s="3" t="s">
        <v>528</v>
      </c>
      <c r="G31" s="3" t="s">
        <v>483</v>
      </c>
      <c r="K31" s="3" t="s">
        <v>234</v>
      </c>
    </row>
    <row r="32" spans="1:11" ht="15.75" customHeight="1">
      <c r="B32" s="1">
        <v>11</v>
      </c>
      <c r="C32" s="3" t="s">
        <v>530</v>
      </c>
      <c r="D32" s="3" t="s">
        <v>532</v>
      </c>
      <c r="E32" s="3" t="s">
        <v>533</v>
      </c>
      <c r="F32" s="3" t="s">
        <v>534</v>
      </c>
      <c r="G32" s="3" t="s">
        <v>368</v>
      </c>
      <c r="K32" s="3" t="s">
        <v>535</v>
      </c>
    </row>
    <row r="33" spans="1:11" ht="15.75" customHeight="1">
      <c r="A33" s="3" t="s">
        <v>537</v>
      </c>
      <c r="B33" s="1">
        <v>12</v>
      </c>
      <c r="C33" s="3" t="s">
        <v>538</v>
      </c>
      <c r="D33" s="3" t="s">
        <v>539</v>
      </c>
      <c r="E33" s="3" t="s">
        <v>541</v>
      </c>
      <c r="F33" s="3" t="s">
        <v>542</v>
      </c>
      <c r="G33" s="3" t="s">
        <v>422</v>
      </c>
      <c r="K33" s="3" t="s">
        <v>543</v>
      </c>
    </row>
    <row r="34" spans="1:11" ht="13.2">
      <c r="B34" s="1">
        <v>13</v>
      </c>
      <c r="C34" s="3" t="s">
        <v>545</v>
      </c>
      <c r="D34" s="3" t="s">
        <v>546</v>
      </c>
      <c r="E34" s="3" t="s">
        <v>547</v>
      </c>
      <c r="F34" s="3" t="s">
        <v>427</v>
      </c>
      <c r="G34" s="3" t="s">
        <v>408</v>
      </c>
      <c r="K34" s="3" t="s">
        <v>549</v>
      </c>
    </row>
    <row r="35" spans="1:11" ht="13.2">
      <c r="B35" s="1">
        <v>14</v>
      </c>
      <c r="C35" s="3" t="s">
        <v>550</v>
      </c>
      <c r="D35" s="3" t="s">
        <v>551</v>
      </c>
      <c r="E35" s="3" t="s">
        <v>553</v>
      </c>
      <c r="F35" s="3" t="s">
        <v>554</v>
      </c>
      <c r="G35" s="3" t="s">
        <v>408</v>
      </c>
      <c r="K35" s="3" t="s">
        <v>555</v>
      </c>
    </row>
    <row r="36" spans="1:11" ht="13.2">
      <c r="B36" s="1">
        <v>15</v>
      </c>
      <c r="C36" s="3" t="s">
        <v>557</v>
      </c>
      <c r="K36" s="3" t="s">
        <v>234</v>
      </c>
    </row>
    <row r="37" spans="1:11" ht="13.2">
      <c r="B37" s="1">
        <v>16</v>
      </c>
      <c r="C37" s="3" t="s">
        <v>558</v>
      </c>
      <c r="D37" s="3" t="s">
        <v>559</v>
      </c>
      <c r="E37" s="3" t="s">
        <v>561</v>
      </c>
      <c r="F37" s="3" t="s">
        <v>562</v>
      </c>
      <c r="G37" s="3" t="s">
        <v>408</v>
      </c>
      <c r="K37" s="3" t="s">
        <v>535</v>
      </c>
    </row>
    <row r="38" spans="1:11" ht="13.2">
      <c r="B38" s="1">
        <v>17</v>
      </c>
      <c r="C38" s="3" t="s">
        <v>564</v>
      </c>
      <c r="D38" s="3" t="s">
        <v>565</v>
      </c>
      <c r="E38" s="3" t="s">
        <v>566</v>
      </c>
      <c r="F38" s="3" t="s">
        <v>567</v>
      </c>
      <c r="G38" s="3" t="s">
        <v>402</v>
      </c>
      <c r="K38" s="3" t="s">
        <v>254</v>
      </c>
    </row>
    <row r="39" spans="1:11" ht="13.2">
      <c r="B39" s="1">
        <v>18</v>
      </c>
      <c r="C39" s="3" t="s">
        <v>569</v>
      </c>
      <c r="D39" s="3" t="s">
        <v>570</v>
      </c>
      <c r="E39" s="3" t="s">
        <v>572</v>
      </c>
      <c r="F39" s="3" t="s">
        <v>573</v>
      </c>
      <c r="G39" s="3" t="s">
        <v>402</v>
      </c>
      <c r="K39" s="3" t="s">
        <v>410</v>
      </c>
    </row>
    <row r="40" spans="1:11" ht="13.2">
      <c r="B40" s="1">
        <v>19</v>
      </c>
      <c r="C40" s="3" t="s">
        <v>575</v>
      </c>
      <c r="D40" s="3" t="s">
        <v>576</v>
      </c>
      <c r="E40" s="3" t="s">
        <v>577</v>
      </c>
      <c r="F40" s="3" t="s">
        <v>579</v>
      </c>
      <c r="G40" s="3" t="s">
        <v>580</v>
      </c>
      <c r="K40" s="3" t="s">
        <v>410</v>
      </c>
    </row>
    <row r="41" spans="1:11" ht="13.2">
      <c r="C41" s="3" t="s">
        <v>581</v>
      </c>
      <c r="K41" s="3" t="s">
        <v>125</v>
      </c>
    </row>
    <row r="42" spans="1:11" ht="13.2">
      <c r="B42" s="1">
        <v>20</v>
      </c>
      <c r="C42" s="3" t="s">
        <v>583</v>
      </c>
      <c r="D42" s="3" t="s">
        <v>584</v>
      </c>
      <c r="E42" s="3" t="s">
        <v>586</v>
      </c>
      <c r="F42" s="3" t="s">
        <v>587</v>
      </c>
      <c r="K42" s="3" t="s">
        <v>125</v>
      </c>
    </row>
    <row r="43" spans="1:11" ht="13.2">
      <c r="B43" s="1">
        <v>21</v>
      </c>
      <c r="C43" s="3" t="s">
        <v>589</v>
      </c>
      <c r="D43" s="3" t="s">
        <v>589</v>
      </c>
      <c r="E43" s="3" t="s">
        <v>591</v>
      </c>
      <c r="F43" s="3" t="s">
        <v>592</v>
      </c>
      <c r="G43" s="3" t="s">
        <v>434</v>
      </c>
      <c r="K43" s="3" t="s">
        <v>593</v>
      </c>
    </row>
    <row r="44" spans="1:11" ht="13.2">
      <c r="B44" s="1">
        <v>22</v>
      </c>
      <c r="C44" s="3" t="s">
        <v>594</v>
      </c>
      <c r="D44" s="3" t="s">
        <v>595</v>
      </c>
      <c r="E44" s="3" t="s">
        <v>597</v>
      </c>
      <c r="F44" s="3" t="s">
        <v>598</v>
      </c>
      <c r="G44" s="3" t="s">
        <v>580</v>
      </c>
      <c r="K44" s="3" t="s">
        <v>175</v>
      </c>
    </row>
    <row r="45" spans="1:11" ht="13.2">
      <c r="B45" s="1">
        <v>23</v>
      </c>
      <c r="C45" s="3" t="s">
        <v>600</v>
      </c>
      <c r="D45" s="3" t="s">
        <v>601</v>
      </c>
      <c r="E45" s="3" t="s">
        <v>602</v>
      </c>
      <c r="F45" s="3" t="s">
        <v>603</v>
      </c>
      <c r="G45" s="3" t="s">
        <v>434</v>
      </c>
      <c r="K45" s="3" t="s">
        <v>604</v>
      </c>
    </row>
    <row r="46" spans="1:11" ht="13.2">
      <c r="B46" s="1">
        <v>24</v>
      </c>
      <c r="C46" s="3" t="s">
        <v>606</v>
      </c>
      <c r="K46" s="3" t="s">
        <v>608</v>
      </c>
    </row>
    <row r="47" spans="1:11" ht="13.2">
      <c r="B47" s="1">
        <v>25</v>
      </c>
      <c r="C47" s="3" t="s">
        <v>610</v>
      </c>
      <c r="K47" s="3" t="s">
        <v>182</v>
      </c>
    </row>
    <row r="48" spans="1:11" ht="13.2">
      <c r="B48" s="1">
        <v>26</v>
      </c>
      <c r="C48" s="3" t="s">
        <v>612</v>
      </c>
      <c r="K48" s="3" t="s">
        <v>164</v>
      </c>
    </row>
    <row r="49" spans="2:11" ht="13.2">
      <c r="B49" s="1">
        <v>27</v>
      </c>
      <c r="C49" s="3" t="s">
        <v>614</v>
      </c>
      <c r="K49" s="3" t="s">
        <v>125</v>
      </c>
    </row>
    <row r="50" spans="2:11" ht="13.2">
      <c r="B50" s="1">
        <v>28</v>
      </c>
      <c r="C50" s="3" t="s">
        <v>615</v>
      </c>
      <c r="D50" s="3" t="s">
        <v>546</v>
      </c>
      <c r="E50" s="3" t="s">
        <v>617</v>
      </c>
      <c r="F50" s="3" t="s">
        <v>567</v>
      </c>
      <c r="G50" s="3" t="s">
        <v>618</v>
      </c>
      <c r="K50" s="3" t="s">
        <v>535</v>
      </c>
    </row>
    <row r="51" spans="2:11" ht="13.2">
      <c r="B51" s="1">
        <v>29</v>
      </c>
      <c r="C51" s="3" t="s">
        <v>620</v>
      </c>
      <c r="K51" s="3" t="s">
        <v>604</v>
      </c>
    </row>
    <row r="52" spans="2:11" ht="13.2">
      <c r="B52" s="1">
        <v>30</v>
      </c>
      <c r="C52" s="3" t="s">
        <v>622</v>
      </c>
      <c r="K52" s="3" t="s">
        <v>623</v>
      </c>
    </row>
    <row r="53" spans="2:11" ht="13.2">
      <c r="B53" s="1">
        <v>31</v>
      </c>
      <c r="C53" s="3" t="s">
        <v>625</v>
      </c>
      <c r="K53" s="3" t="s">
        <v>535</v>
      </c>
    </row>
    <row r="54" spans="2:11" ht="13.2">
      <c r="B54" s="1">
        <v>32</v>
      </c>
      <c r="C54" s="3" t="s">
        <v>627</v>
      </c>
      <c r="K54" s="3" t="s">
        <v>191</v>
      </c>
    </row>
    <row r="55" spans="2:11" ht="13.2">
      <c r="B55" s="1">
        <v>33</v>
      </c>
      <c r="C55" s="3" t="s">
        <v>629</v>
      </c>
      <c r="D55" s="3" t="s">
        <v>526</v>
      </c>
      <c r="E55" s="3" t="s">
        <v>631</v>
      </c>
      <c r="F55" s="3" t="s">
        <v>632</v>
      </c>
      <c r="G55" s="3" t="s">
        <v>483</v>
      </c>
      <c r="K55" s="3" t="s">
        <v>535</v>
      </c>
    </row>
    <row r="56" spans="2:11" ht="13.2">
      <c r="B56" s="1">
        <v>34</v>
      </c>
      <c r="C56" s="3" t="s">
        <v>634</v>
      </c>
      <c r="D56" s="3" t="s">
        <v>635</v>
      </c>
      <c r="E56" s="3" t="s">
        <v>636</v>
      </c>
      <c r="F56" s="3" t="s">
        <v>637</v>
      </c>
      <c r="G56" s="3" t="s">
        <v>639</v>
      </c>
      <c r="K56" s="3" t="s">
        <v>410</v>
      </c>
    </row>
    <row r="57" spans="2:11" ht="13.2">
      <c r="B57" s="1">
        <v>35</v>
      </c>
      <c r="C57" s="3" t="s">
        <v>640</v>
      </c>
      <c r="D57" s="3" t="s">
        <v>641</v>
      </c>
      <c r="E57" s="3" t="s">
        <v>643</v>
      </c>
      <c r="F57" s="3" t="s">
        <v>644</v>
      </c>
      <c r="G57" s="3" t="s">
        <v>645</v>
      </c>
      <c r="K57" s="3" t="s">
        <v>175</v>
      </c>
    </row>
    <row r="58" spans="2:11" ht="13.2">
      <c r="B58" s="1">
        <v>36</v>
      </c>
      <c r="C58" s="3" t="s">
        <v>647</v>
      </c>
      <c r="D58" s="3" t="s">
        <v>648</v>
      </c>
      <c r="E58" s="3" t="s">
        <v>649</v>
      </c>
      <c r="F58" s="3" t="s">
        <v>488</v>
      </c>
      <c r="G58" s="3" t="s">
        <v>422</v>
      </c>
      <c r="K58" s="3" t="s">
        <v>125</v>
      </c>
    </row>
    <row r="59" spans="2:11" ht="13.2">
      <c r="B59" s="1">
        <v>37</v>
      </c>
      <c r="C59" s="3" t="s">
        <v>651</v>
      </c>
      <c r="D59" s="3" t="s">
        <v>653</v>
      </c>
      <c r="E59" s="3" t="s">
        <v>654</v>
      </c>
      <c r="F59" s="3" t="s">
        <v>655</v>
      </c>
      <c r="G59" s="3" t="s">
        <v>618</v>
      </c>
      <c r="K59" s="3" t="s">
        <v>133</v>
      </c>
    </row>
    <row r="60" spans="2:11" ht="13.2">
      <c r="B60" s="1">
        <v>38</v>
      </c>
      <c r="C60" s="3" t="s">
        <v>657</v>
      </c>
      <c r="D60" s="3" t="s">
        <v>658</v>
      </c>
      <c r="E60" s="3" t="s">
        <v>659</v>
      </c>
      <c r="F60" s="3" t="s">
        <v>660</v>
      </c>
      <c r="G60" s="3" t="s">
        <v>408</v>
      </c>
    </row>
    <row r="61" spans="2:11" ht="13.2">
      <c r="B61" s="1">
        <v>39</v>
      </c>
      <c r="C61" s="3" t="s">
        <v>662</v>
      </c>
      <c r="D61" s="3" t="s">
        <v>664</v>
      </c>
      <c r="E61" s="3" t="s">
        <v>665</v>
      </c>
      <c r="F61" s="3" t="s">
        <v>666</v>
      </c>
      <c r="G61" s="3" t="s">
        <v>408</v>
      </c>
    </row>
    <row r="62" spans="2:11" ht="13.2">
      <c r="B62" s="1">
        <v>40</v>
      </c>
      <c r="C62" s="3" t="s">
        <v>668</v>
      </c>
      <c r="D62" s="3" t="s">
        <v>669</v>
      </c>
      <c r="E62" s="3" t="s">
        <v>671</v>
      </c>
      <c r="F62" s="3" t="s">
        <v>672</v>
      </c>
      <c r="G62" s="3" t="s">
        <v>673</v>
      </c>
    </row>
    <row r="63" spans="2:11" ht="13.2">
      <c r="B63" s="1">
        <v>41</v>
      </c>
      <c r="C63" s="3" t="s">
        <v>675</v>
      </c>
      <c r="D63" s="3" t="s">
        <v>676</v>
      </c>
      <c r="E63" s="3" t="s">
        <v>677</v>
      </c>
      <c r="F63" s="3" t="s">
        <v>679</v>
      </c>
      <c r="G63" s="3" t="s">
        <v>408</v>
      </c>
    </row>
    <row r="64" spans="2:11" ht="13.2">
      <c r="B64" s="1">
        <v>42</v>
      </c>
      <c r="C64" s="3" t="s">
        <v>680</v>
      </c>
      <c r="D64" s="3" t="s">
        <v>532</v>
      </c>
      <c r="E64" s="3" t="s">
        <v>654</v>
      </c>
      <c r="F64" s="3" t="s">
        <v>567</v>
      </c>
      <c r="G64" s="3" t="s">
        <v>618</v>
      </c>
    </row>
  </sheetData>
  <hyperlinks>
    <hyperlink ref="C4" r:id="rId1" xr:uid="{00000000-0004-0000-0600-000000000000}"/>
    <hyperlink ref="D20" r:id="rId2" xr:uid="{00000000-0004-0000-0600-000001000000}"/>
    <hyperlink ref="C21" r:id="rId3" xr:uid="{00000000-0004-0000-0600-000002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B9"/>
  <sheetViews>
    <sheetView workbookViewId="0"/>
  </sheetViews>
  <sheetFormatPr defaultColWidth="14.44140625" defaultRowHeight="15.75" customHeight="1"/>
  <cols>
    <col min="1" max="1" width="28.44140625" customWidth="1"/>
    <col min="2" max="2" width="61.88671875" customWidth="1"/>
  </cols>
  <sheetData>
    <row r="1" spans="1:2" ht="15.75" customHeight="1">
      <c r="A1" s="7" t="s">
        <v>835</v>
      </c>
      <c r="B1" s="7" t="s">
        <v>851</v>
      </c>
    </row>
    <row r="2" spans="1:2" ht="15.75" customHeight="1">
      <c r="A2" s="3" t="s">
        <v>853</v>
      </c>
      <c r="B2" s="28" t="s">
        <v>855</v>
      </c>
    </row>
    <row r="3" spans="1:2" ht="15.75" customHeight="1">
      <c r="A3" s="3" t="s">
        <v>881</v>
      </c>
    </row>
    <row r="4" spans="1:2" ht="15.75" customHeight="1">
      <c r="A4" s="3" t="s">
        <v>883</v>
      </c>
      <c r="B4" s="28" t="s">
        <v>885</v>
      </c>
    </row>
    <row r="5" spans="1:2" ht="15.75" customHeight="1">
      <c r="A5" s="3" t="s">
        <v>907</v>
      </c>
      <c r="B5" s="29" t="s">
        <v>908</v>
      </c>
    </row>
    <row r="6" spans="1:2" ht="15.75" customHeight="1">
      <c r="A6" s="3" t="s">
        <v>933</v>
      </c>
    </row>
    <row r="7" spans="1:2" ht="15.75" customHeight="1">
      <c r="A7" s="3" t="s">
        <v>935</v>
      </c>
    </row>
    <row r="8" spans="1:2" ht="15.75" customHeight="1">
      <c r="A8" s="3" t="s">
        <v>937</v>
      </c>
      <c r="B8" s="28" t="s">
        <v>939</v>
      </c>
    </row>
    <row r="9" spans="1:2" ht="15.75" customHeight="1">
      <c r="B9" s="3"/>
    </row>
  </sheetData>
  <hyperlinks>
    <hyperlink ref="B2" r:id="rId1" xr:uid="{00000000-0004-0000-0700-000000000000}"/>
    <hyperlink ref="B4" r:id="rId2" xr:uid="{00000000-0004-0000-0700-000001000000}"/>
    <hyperlink ref="B5" r:id="rId3" xr:uid="{00000000-0004-0000-0700-000002000000}"/>
    <hyperlink ref="B8" r:id="rId4" xr:uid="{00000000-0004-0000-0700-000003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DB Planning</vt:lpstr>
      <vt:lpstr>Location Seed</vt:lpstr>
      <vt:lpstr>Land and Range Seed</vt:lpstr>
      <vt:lpstr>Activity Seed</vt:lpstr>
      <vt:lpstr>Trail Seed</vt:lpstr>
      <vt:lpstr>Hikes Done</vt:lpstr>
      <vt:lpstr>Hikes To Do</vt:lpstr>
      <vt:lpstr>Other Activities</vt:lpstr>
      <vt:lpstr>13ers14ers</vt:lpstr>
      <vt:lpstr>Parks List</vt:lpstr>
      <vt:lpstr>Outdoor Classes</vt:lpstr>
      <vt:lpstr>'Activity Seed'!_FilterDatabase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Katie Craychee</dc:creator>
  <cp:lastModifiedBy>Katie Craychee</cp:lastModifiedBy>
  <dcterms:created xsi:type="dcterms:W3CDTF">2019-04-07T22:01:00Z</dcterms:created>
  <dcterms:modified xsi:type="dcterms:W3CDTF">2019-04-08T16:36:59Z</dcterms:modified>
</cp:coreProperties>
</file>